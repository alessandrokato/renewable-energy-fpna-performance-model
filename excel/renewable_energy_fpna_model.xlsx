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ss\Downloads\"/>
    </mc:Choice>
  </mc:AlternateContent>
  <xr:revisionPtr revIDLastSave="0" documentId="13_ncr:1_{C8B4E18A-CF3C-48AE-A559-99D9E6326F99}" xr6:coauthVersionLast="47" xr6:coauthVersionMax="47" xr10:uidLastSave="{00000000-0000-0000-0000-000000000000}"/>
  <bookViews>
    <workbookView xWindow="-108" yWindow="-108" windowWidth="23256" windowHeight="13176" tabRatio="601" firstSheet="7" activeTab="9" xr2:uid="{00000000-000D-0000-FFFF-FFFF00000000}"/>
  </bookViews>
  <sheets>
    <sheet name="00_ReadMe" sheetId="1" r:id="rId1"/>
    <sheet name="01_Assumptions" sheetId="2" r:id="rId2"/>
    <sheet name="02_Raw_Data_Checks" sheetId="3" r:id="rId3"/>
    <sheet name="03_PQ_Actuals" sheetId="15" r:id="rId4"/>
    <sheet name="04_PQ_Budget" sheetId="14" r:id="rId5"/>
    <sheet name="05_PQ_Forecast" sheetId="18" r:id="rId6"/>
    <sheet name="06_Calculations" sheetId="7" r:id="rId7"/>
    <sheet name="07_Variance_Analysis" sheetId="8" r:id="rId8"/>
    <sheet name="08_Scenario_Model" sheetId="9" r:id="rId9"/>
    <sheet name="09_Management_Dashboard" sheetId="10" r:id="rId10"/>
    <sheet name="10_Commentary_Pack" sheetId="11" r:id="rId11"/>
    <sheet name="11_PQ_Combined" sheetId="19" r:id="rId12"/>
    <sheet name="12_Input_Assets" sheetId="13" r:id="rId13"/>
    <sheet name="13_Input_Assumptions" sheetId="17" r:id="rId14"/>
    <sheet name="14_Input_VarianceDrivers" sheetId="16" r:id="rId15"/>
  </sheets>
  <definedNames>
    <definedName name="_xlchart.v1.0" hidden="1">'07_Variance_Analysis'!$A$4:$A$11</definedName>
    <definedName name="_xlchart.v1.1" hidden="1">'07_Variance_Analysis'!$B$4:$B$11</definedName>
    <definedName name="_xlchart.v1.2" hidden="1">'07_Variance_Analysis'!$A$4:$A$11</definedName>
    <definedName name="_xlchart.v1.3" hidden="1">'07_Variance_Analysis'!$B$4:$B$11</definedName>
    <definedName name="A">'06_Calculations'!$A$1</definedName>
    <definedName name="ExternalData_1" localSheetId="5" hidden="1">'05_PQ_Forecast'!$A$1:$M$121</definedName>
    <definedName name="ExternalData_1" localSheetId="12" hidden="1">'12_Input_Assets'!$A$1:$H$6</definedName>
    <definedName name="ExternalData_2" localSheetId="4" hidden="1">'04_PQ_Budget'!$A$1:$M$121</definedName>
    <definedName name="ExternalData_2" localSheetId="11" hidden="1">'11_PQ_Combined'!$A$1:$R$361</definedName>
    <definedName name="ExternalData_2" localSheetId="14" hidden="1">'14_Input_VarianceDrivers'!$A$1:$F$721</definedName>
    <definedName name="ExternalData_3" localSheetId="3" hidden="1">'03_PQ_Actuals'!$A$1:$M$121</definedName>
    <definedName name="ExternalData_3" localSheetId="13" hidden="1">'13_Input_Assumptions'!$A$1:$H$13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3" l="1"/>
  <c r="B9" i="3"/>
  <c r="D8" i="3"/>
  <c r="B8" i="3"/>
  <c r="D7" i="3"/>
  <c r="B7" i="3"/>
  <c r="D6" i="3"/>
  <c r="B6" i="3"/>
  <c r="D5" i="3"/>
  <c r="B5" i="3"/>
  <c r="B4" i="3"/>
  <c r="D4" i="3" s="1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27" i="7"/>
  <c r="E28" i="7"/>
  <c r="I28" i="7" s="1"/>
  <c r="E29" i="7"/>
  <c r="I29" i="7" s="1"/>
  <c r="E30" i="7"/>
  <c r="I30" i="7" s="1"/>
  <c r="E31" i="7"/>
  <c r="I31" i="7" s="1"/>
  <c r="E32" i="7"/>
  <c r="I32" i="7" s="1"/>
  <c r="E33" i="7"/>
  <c r="I33" i="7" s="1"/>
  <c r="E34" i="7"/>
  <c r="I34" i="7" s="1"/>
  <c r="E35" i="7"/>
  <c r="I35" i="7" s="1"/>
  <c r="E36" i="7"/>
  <c r="I36" i="7" s="1"/>
  <c r="E37" i="7"/>
  <c r="I37" i="7" s="1"/>
  <c r="E38" i="7"/>
  <c r="I38" i="7" s="1"/>
  <c r="E39" i="7"/>
  <c r="I39" i="7" s="1"/>
  <c r="E40" i="7"/>
  <c r="I40" i="7" s="1"/>
  <c r="E41" i="7"/>
  <c r="I41" i="7" s="1"/>
  <c r="E42" i="7"/>
  <c r="I42" i="7" s="1"/>
  <c r="E43" i="7"/>
  <c r="I43" i="7" s="1"/>
  <c r="E44" i="7"/>
  <c r="I44" i="7" s="1"/>
  <c r="E45" i="7"/>
  <c r="I45" i="7" s="1"/>
  <c r="E46" i="7"/>
  <c r="I46" i="7" s="1"/>
  <c r="E47" i="7"/>
  <c r="I47" i="7" s="1"/>
  <c r="E48" i="7"/>
  <c r="I48" i="7" s="1"/>
  <c r="E49" i="7"/>
  <c r="I49" i="7" s="1"/>
  <c r="E50" i="7"/>
  <c r="I50" i="7" s="1"/>
  <c r="E27" i="7"/>
  <c r="I27" i="7" s="1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27" i="7"/>
  <c r="B27" i="7"/>
  <c r="H27" i="7" s="1"/>
  <c r="B32" i="7"/>
  <c r="B33" i="7"/>
  <c r="H33" i="7" s="1"/>
  <c r="B34" i="7"/>
  <c r="H34" i="7" s="1"/>
  <c r="B35" i="7"/>
  <c r="H35" i="7" s="1"/>
  <c r="B36" i="7"/>
  <c r="H36" i="7" s="1"/>
  <c r="B37" i="7"/>
  <c r="H37" i="7" s="1"/>
  <c r="B38" i="7"/>
  <c r="H38" i="7" s="1"/>
  <c r="B39" i="7"/>
  <c r="H39" i="7" s="1"/>
  <c r="B40" i="7"/>
  <c r="B41" i="7"/>
  <c r="H41" i="7" s="1"/>
  <c r="B42" i="7"/>
  <c r="H42" i="7" s="1"/>
  <c r="B43" i="7"/>
  <c r="H43" i="7" s="1"/>
  <c r="B44" i="7"/>
  <c r="H44" i="7" s="1"/>
  <c r="B45" i="7"/>
  <c r="H45" i="7" s="1"/>
  <c r="B46" i="7"/>
  <c r="H46" i="7" s="1"/>
  <c r="B47" i="7"/>
  <c r="H47" i="7" s="1"/>
  <c r="B48" i="7"/>
  <c r="B49" i="7"/>
  <c r="H49" i="7" s="1"/>
  <c r="B50" i="7"/>
  <c r="H50" i="7" s="1"/>
  <c r="B28" i="7"/>
  <c r="H28" i="7" s="1"/>
  <c r="B29" i="7"/>
  <c r="H29" i="7" s="1"/>
  <c r="B30" i="7"/>
  <c r="H30" i="7" s="1"/>
  <c r="B31" i="7"/>
  <c r="H31" i="7" s="1"/>
  <c r="A27" i="7" a="1"/>
  <c r="A27" i="7" s="1"/>
  <c r="D5" i="10"/>
  <c r="A5" i="10"/>
  <c r="B16" i="9"/>
  <c r="I8" i="9"/>
  <c r="I9" i="9"/>
  <c r="I10" i="9"/>
  <c r="F8" i="9"/>
  <c r="F9" i="9"/>
  <c r="F10" i="9"/>
  <c r="E8" i="9" a="1"/>
  <c r="E8" i="9" s="1"/>
  <c r="E9" i="9" a="1"/>
  <c r="E9" i="9" s="1"/>
  <c r="E10" i="9" a="1"/>
  <c r="E10" i="9" s="1"/>
  <c r="D8" i="9" a="1"/>
  <c r="D8" i="9" s="1"/>
  <c r="D9" i="9" a="1"/>
  <c r="D9" i="9" s="1"/>
  <c r="D10" i="9" a="1"/>
  <c r="D10" i="9" s="1"/>
  <c r="C8" i="9" a="1"/>
  <c r="C8" i="9" s="1"/>
  <c r="C9" i="9" a="1"/>
  <c r="C9" i="9" s="1"/>
  <c r="C10" i="9" a="1"/>
  <c r="C10" i="9" s="1"/>
  <c r="B8" i="9" a="1"/>
  <c r="B8" i="9" s="1"/>
  <c r="B9" i="9" a="1"/>
  <c r="B9" i="9" s="1"/>
  <c r="B10" i="9" a="1"/>
  <c r="B10" i="9" s="1"/>
  <c r="I7" i="9"/>
  <c r="I12" i="9" s="1"/>
  <c r="F7" i="9"/>
  <c r="E7" i="9" a="1"/>
  <c r="E7" i="9" s="1"/>
  <c r="D7" i="9" a="1"/>
  <c r="D7" i="9" s="1"/>
  <c r="C7" i="9" a="1"/>
  <c r="C7" i="9" s="1"/>
  <c r="B7" i="9" a="1"/>
  <c r="B7" i="9" s="1"/>
  <c r="H48" i="7" l="1"/>
  <c r="H40" i="7"/>
  <c r="H32" i="7"/>
  <c r="F12" i="9"/>
  <c r="N7" i="9" s="1"/>
  <c r="O7" i="9"/>
  <c r="B19" i="9"/>
  <c r="G10" i="9"/>
  <c r="G9" i="9"/>
  <c r="G7" i="9"/>
  <c r="H7" i="9" s="1"/>
  <c r="G8" i="9"/>
  <c r="B17" i="9" l="1"/>
  <c r="J10" i="9"/>
  <c r="K10" i="9" s="1"/>
  <c r="H10" i="9"/>
  <c r="J8" i="9"/>
  <c r="K8" i="9" s="1"/>
  <c r="H8" i="9"/>
  <c r="J7" i="9"/>
  <c r="G12" i="9"/>
  <c r="J9" i="9"/>
  <c r="K9" i="9" s="1"/>
  <c r="H9" i="9"/>
  <c r="B12" i="8"/>
  <c r="B11" i="8"/>
  <c r="B10" i="8"/>
  <c r="B9" i="8"/>
  <c r="B8" i="8"/>
  <c r="B7" i="8"/>
  <c r="B6" i="8"/>
  <c r="B5" i="8"/>
  <c r="B4" i="8"/>
  <c r="K17" i="7"/>
  <c r="K18" i="7"/>
  <c r="K19" i="7"/>
  <c r="K20" i="7"/>
  <c r="J17" i="7"/>
  <c r="L17" i="7" s="1"/>
  <c r="J18" i="7"/>
  <c r="L18" i="7" s="1"/>
  <c r="J19" i="7"/>
  <c r="L19" i="7" s="1"/>
  <c r="J20" i="7"/>
  <c r="L20" i="7" s="1"/>
  <c r="G17" i="7"/>
  <c r="G18" i="7"/>
  <c r="I18" i="7" s="1"/>
  <c r="G19" i="7"/>
  <c r="G20" i="7"/>
  <c r="K16" i="7"/>
  <c r="J16" i="7"/>
  <c r="G16" i="7"/>
  <c r="F17" i="7"/>
  <c r="H17" i="7" s="1"/>
  <c r="F18" i="7"/>
  <c r="H18" i="7" s="1"/>
  <c r="F19" i="7"/>
  <c r="H19" i="7" s="1"/>
  <c r="F20" i="7"/>
  <c r="H20" i="7" s="1"/>
  <c r="F16" i="7"/>
  <c r="H16" i="7" s="1"/>
  <c r="D17" i="7"/>
  <c r="D18" i="7"/>
  <c r="D19" i="7"/>
  <c r="D20" i="7"/>
  <c r="D16" i="7"/>
  <c r="C16" i="7"/>
  <c r="C17" i="7"/>
  <c r="C18" i="7"/>
  <c r="E18" i="7" s="1"/>
  <c r="C19" i="7"/>
  <c r="E19" i="7" s="1"/>
  <c r="C20" i="7"/>
  <c r="E20" i="7" s="1"/>
  <c r="B17" i="7"/>
  <c r="B18" i="7"/>
  <c r="B19" i="7"/>
  <c r="B20" i="7"/>
  <c r="A16" i="7" a="1"/>
  <c r="A16" i="7" s="1"/>
  <c r="B16" i="7" s="1"/>
  <c r="C7" i="7"/>
  <c r="G7" i="7" s="1"/>
  <c r="H7" i="7" s="1"/>
  <c r="G9" i="7"/>
  <c r="H9" i="7" s="1"/>
  <c r="G6" i="7"/>
  <c r="H6" i="7" s="1"/>
  <c r="G8" i="7"/>
  <c r="H8" i="7" s="1"/>
  <c r="G10" i="7"/>
  <c r="H10" i="7" s="1"/>
  <c r="E6" i="7"/>
  <c r="F6" i="7" s="1"/>
  <c r="E8" i="7"/>
  <c r="F8" i="7" s="1"/>
  <c r="E9" i="7"/>
  <c r="F9" i="7" s="1"/>
  <c r="E10" i="7"/>
  <c r="J5" i="10" s="1"/>
  <c r="B10" i="7"/>
  <c r="B9" i="7"/>
  <c r="B8" i="7"/>
  <c r="B7" i="7"/>
  <c r="C10" i="7"/>
  <c r="C9" i="7"/>
  <c r="C8" i="7"/>
  <c r="D10" i="7"/>
  <c r="D9" i="7"/>
  <c r="D8" i="7"/>
  <c r="D7" i="7"/>
  <c r="D6" i="7"/>
  <c r="C6" i="7"/>
  <c r="B6" i="7"/>
  <c r="G5" i="7"/>
  <c r="H5" i="7" s="1"/>
  <c r="D5" i="7"/>
  <c r="C5" i="7"/>
  <c r="B5" i="7"/>
  <c r="E5" i="7" s="1"/>
  <c r="F5" i="7" s="1"/>
  <c r="D4" i="7"/>
  <c r="G4" i="7" s="1"/>
  <c r="H4" i="7" s="1"/>
  <c r="C4" i="7"/>
  <c r="B4" i="7"/>
  <c r="E4" i="7" s="1"/>
  <c r="F4" i="7" s="1"/>
  <c r="E17" i="7" l="1"/>
  <c r="L16" i="7"/>
  <c r="I19" i="7"/>
  <c r="E16" i="7"/>
  <c r="I16" i="7"/>
  <c r="I20" i="7"/>
  <c r="I17" i="7"/>
  <c r="F10" i="7"/>
  <c r="B13" i="8"/>
  <c r="H12" i="9"/>
  <c r="K7" i="9"/>
  <c r="K12" i="9" s="1"/>
  <c r="J12" i="9"/>
  <c r="N8" i="9"/>
  <c r="B18" i="9"/>
  <c r="E7" i="7"/>
  <c r="F7" i="7" l="1"/>
  <c r="G5" i="10"/>
  <c r="O8" i="9"/>
  <c r="B20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F10B86-33DA-41AA-BD50-807E2458064B}" keepAlive="1" name="Query - assets" description="Connection to the 'assets' query in the workbook." type="5" refreshedVersion="8" background="1" saveData="1">
    <dbPr connection="Provider=Microsoft.Mashup.OleDb.1;Data Source=$Workbook$;Location=assets;Extended Properties=&quot;&quot;" command="SELECT * FROM [assets]"/>
  </connection>
  <connection id="2" xr16:uid="{84E24054-364E-4E43-AC2F-C7922AE17076}" keepAlive="1" name="Query - assumptions" description="Connection to the 'assumptions' query in the workbook." type="5" refreshedVersion="8" background="1" saveData="1">
    <dbPr connection="Provider=Microsoft.Mashup.OleDb.1;Data Source=$Workbook$;Location=assumptions;Extended Properties=&quot;&quot;" command="SELECT * FROM [assumptions]"/>
  </connection>
  <connection id="3" xr16:uid="{665ED0B9-8CC2-479B-A991-2B6422085550}" keepAlive="1" name="Query - fpna_monthly_combined" description="Connection to the 'fpna_monthly_combined' query in the workbook." type="5" refreshedVersion="0" background="1">
    <dbPr connection="Provider=Microsoft.Mashup.OleDb.1;Data Source=$Workbook$;Location=fpna_monthly_combined;Extended Properties=&quot;&quot;" command="SELECT * FROM [fpna_monthly_combined]"/>
  </connection>
  <connection id="4" xr16:uid="{7F52B446-B566-4AF6-AD4A-5C117FF6C432}" keepAlive="1" name="Query - fpna_monthly_combined1" description="Connection to the 'fpna_monthly_combined' query in the workbook." type="5" refreshedVersion="8" background="1" saveData="1">
    <dbPr connection="Provider=Microsoft.Mashup.OleDb.1;Data Source=$Workbook$;Location=fpna_monthly_combined;Extended Properties=&quot;&quot;" command="SELECT * FROM [fpna_monthly_combined]"/>
  </connection>
  <connection id="5" xr16:uid="{C28E2AE5-4E9A-4E21-9D39-A07D1201EE89}" keepAlive="1" name="Query - monthly_actuals" description="Connection to the 'monthly_actuals' query in the workbook." type="5" refreshedVersion="8" background="1" saveData="1">
    <dbPr connection="Provider=Microsoft.Mashup.OleDb.1;Data Source=$Workbook$;Location=monthly_actuals;Extended Properties=&quot;&quot;" command="SELECT * FROM [monthly_actuals]"/>
  </connection>
  <connection id="6" xr16:uid="{7CEB3E89-6422-4583-A413-834D0C76A1CC}" keepAlive="1" name="Query - monthly_budget" description="Connection to the 'monthly_budget' query in the workbook." type="5" refreshedVersion="8" background="1" saveData="1">
    <dbPr connection="Provider=Microsoft.Mashup.OleDb.1;Data Source=$Workbook$;Location=monthly_budget;Extended Properties=&quot;&quot;" command="SELECT * FROM [monthly_budget]"/>
  </connection>
  <connection id="7" xr16:uid="{E1AD65A3-52A2-44F6-864D-62B72A19EC30}" keepAlive="1" name="Query - monthly_forecast" description="Connection to the 'monthly_forecast' query in the workbook." type="5" refreshedVersion="8" background="1" saveData="1">
    <dbPr connection="Provider=Microsoft.Mashup.OleDb.1;Data Source=$Workbook$;Location=monthly_forecast;Extended Properties=&quot;&quot;" command="SELECT * FROM [monthly_forecast]"/>
  </connection>
  <connection id="8" xr16:uid="{6BEDE1BC-3407-455C-BC07-C0FBC385FA2D}" keepAlive="1" name="Query - variance_drivers" description="Connection to the 'variance_drivers' query in the workbook." type="5" refreshedVersion="8" background="1" saveData="1">
    <dbPr connection="Provider=Microsoft.Mashup.OleDb.1;Data Source=$Workbook$;Location=variance_drivers;Extended Properties=&quot;&quot;" command="SELECT * FROM [variance_driver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<sst xmlns="http://schemas.openxmlformats.org/spreadsheetml/2006/main" count="6067" uniqueCount="251">
  <si>
    <t>asset_id</t>
  </si>
  <si>
    <t>asset_name</t>
  </si>
  <si>
    <t>technology</t>
  </si>
  <si>
    <t>region</t>
  </si>
  <si>
    <t>capacity_mw</t>
  </si>
  <si>
    <t>commercial_start_date</t>
  </si>
  <si>
    <t>ownership_share</t>
  </si>
  <si>
    <t>asset_status</t>
  </si>
  <si>
    <t>A001</t>
  </si>
  <si>
    <t>Noordzee Wind A</t>
  </si>
  <si>
    <t>Offshore wind</t>
  </si>
  <si>
    <t>Netherlands - North Sea</t>
  </si>
  <si>
    <t>Operating</t>
  </si>
  <si>
    <t>A002</t>
  </si>
  <si>
    <t>Flevoland Solar B</t>
  </si>
  <si>
    <t>Solar PV</t>
  </si>
  <si>
    <t>Netherlands - Flevoland</t>
  </si>
  <si>
    <t>A003</t>
  </si>
  <si>
    <t>Brabant Solar C</t>
  </si>
  <si>
    <t>Netherlands - Noord-Brabant</t>
  </si>
  <si>
    <t>A004</t>
  </si>
  <si>
    <t>Rotterdam Battery D</t>
  </si>
  <si>
    <t>Battery storage</t>
  </si>
  <si>
    <t>Netherlands - Zuid-Holland</t>
  </si>
  <si>
    <t>Ramping</t>
  </si>
  <si>
    <t>A005</t>
  </si>
  <si>
    <t>Groningen Hydrogen Pilot E</t>
  </si>
  <si>
    <t>Hydrogen pilot</t>
  </si>
  <si>
    <t>Netherlands - Groningen</t>
  </si>
  <si>
    <t>Pilot</t>
  </si>
  <si>
    <t>month</t>
  </si>
  <si>
    <t>production_mwh</t>
  </si>
  <si>
    <t>realized_price_eur_mwh</t>
  </si>
  <si>
    <t>revenue_eur</t>
  </si>
  <si>
    <t>direct_opex_eur</t>
  </si>
  <si>
    <t>allocated_overhead_eur</t>
  </si>
  <si>
    <t>ebitda_eur</t>
  </si>
  <si>
    <t>capex_eur</t>
  </si>
  <si>
    <t>utilization_pct</t>
  </si>
  <si>
    <t>downtime_hours</t>
  </si>
  <si>
    <t>availability_pct</t>
  </si>
  <si>
    <t>variance_type</t>
  </si>
  <si>
    <t>variance_driver</t>
  </si>
  <si>
    <t>variance_eur</t>
  </si>
  <si>
    <t>commentary</t>
  </si>
  <si>
    <t>Price</t>
  </si>
  <si>
    <t>Noordzee Wind A - Price</t>
  </si>
  <si>
    <t>Actual realized price versus budgeted realized price.</t>
  </si>
  <si>
    <t>Volume</t>
  </si>
  <si>
    <t>Noordzee Wind A - Volume</t>
  </si>
  <si>
    <t>Production or throughput variance not separately attributed to downtime or ramp-up.</t>
  </si>
  <si>
    <t>Downtime</t>
  </si>
  <si>
    <t>Noordzee Wind A - Downtime</t>
  </si>
  <si>
    <t>Estimated EBITDA impact from unplanned downtime above budget.</t>
  </si>
  <si>
    <t>Ramp-up</t>
  </si>
  <si>
    <t>Noordzee Wind A - Ramp-up</t>
  </si>
  <si>
    <t>Battery/hydrogen ramp-up performance versus plan.</t>
  </si>
  <si>
    <t>Opex</t>
  </si>
  <si>
    <t>Noordzee Wind A - Opex</t>
  </si>
  <si>
    <t>Direct operating cost variance; negative values are adverse.</t>
  </si>
  <si>
    <t>Timing/Mix</t>
  </si>
  <si>
    <t>Noordzee Wind A - Timing/Mix</t>
  </si>
  <si>
    <t>Residual impact from overhead, capex timing context, rounding, and portfolio mix.</t>
  </si>
  <si>
    <t>Flevoland Solar B - Price</t>
  </si>
  <si>
    <t>Flevoland Solar B - Volume</t>
  </si>
  <si>
    <t>Flevoland Solar B - Downtime</t>
  </si>
  <si>
    <t>Flevoland Solar B - Ramp-up</t>
  </si>
  <si>
    <t>Flevoland Solar B - Opex</t>
  </si>
  <si>
    <t>Flevoland Solar B - Timing/Mix</t>
  </si>
  <si>
    <t>Brabant Solar C - Price</t>
  </si>
  <si>
    <t>Brabant Solar C - Volume</t>
  </si>
  <si>
    <t>Brabant Solar C - Downtime</t>
  </si>
  <si>
    <t>Brabant Solar C - Ramp-up</t>
  </si>
  <si>
    <t>Brabant Solar C - Opex</t>
  </si>
  <si>
    <t>Brabant Solar C - Timing/Mix</t>
  </si>
  <si>
    <t>Rotterdam Battery D - Price</t>
  </si>
  <si>
    <t>Rotterdam Battery D - Volume</t>
  </si>
  <si>
    <t>Rotterdam Battery D - Downtime</t>
  </si>
  <si>
    <t>Rotterdam Battery D - Ramp-up</t>
  </si>
  <si>
    <t>Battery storage throughput reflects operational ramp-up and dispatch optimization.</t>
  </si>
  <si>
    <t>Rotterdam Battery D - Opex</t>
  </si>
  <si>
    <t>Rotterdam Battery D - Timing/Mix</t>
  </si>
  <si>
    <t>Groningen Hydrogen Pilot E - Price</t>
  </si>
  <si>
    <t>Groningen Hydrogen Pilot E - Volume</t>
  </si>
  <si>
    <t>Groningen Hydrogen Pilot E - Downtime</t>
  </si>
  <si>
    <t>Groningen Hydrogen Pilot E - Ramp-up</t>
  </si>
  <si>
    <t>Hydrogen pilot ramp-up behind budgeted production curve.</t>
  </si>
  <si>
    <t>Groningen Hydrogen Pilot E - Opex</t>
  </si>
  <si>
    <t>Groningen Hydrogen Pilot E - Timing/Mix</t>
  </si>
  <si>
    <t>Wind availability below budget due to unplanned maintenance/outage hours.</t>
  </si>
  <si>
    <t>scenario</t>
  </si>
  <si>
    <t>price_index</t>
  </si>
  <si>
    <t>volume_factor</t>
  </si>
  <si>
    <t>opex_inflation</t>
  </si>
  <si>
    <t>downtime_factor</t>
  </si>
  <si>
    <t>capex_delay_months</t>
  </si>
  <si>
    <t>Downside</t>
  </si>
  <si>
    <t>Downside assumption set for offshore wind.</t>
  </si>
  <si>
    <t>Downside assumption set for solar pv.</t>
  </si>
  <si>
    <t>Downside assumption set for battery storage.</t>
  </si>
  <si>
    <t>Downside assumption set for hydrogen pilot.</t>
  </si>
  <si>
    <t>Base</t>
  </si>
  <si>
    <t>Base assumption set for offshore wind.</t>
  </si>
  <si>
    <t>Base assumption set for solar pv.</t>
  </si>
  <si>
    <t>Base assumption set for battery storage.</t>
  </si>
  <si>
    <t>Base assumption set for hydrogen pilot.</t>
  </si>
  <si>
    <t>Upside</t>
  </si>
  <si>
    <t>Upside assumption set for offshore wind.</t>
  </si>
  <si>
    <t>Upside assumption set for solar pv.</t>
  </si>
  <si>
    <t>Upside assumption set for battery storage.</t>
  </si>
  <si>
    <t>Upside assumption set for hydrogen pilot.</t>
  </si>
  <si>
    <t>Scenario</t>
  </si>
  <si>
    <t>Budget</t>
  </si>
  <si>
    <t>Actual</t>
  </si>
  <si>
    <t>Forecast</t>
  </si>
  <si>
    <t>Portfolio Performance Summary</t>
  </si>
  <si>
    <t xml:space="preserve">Metric </t>
  </si>
  <si>
    <t xml:space="preserve">Actual vs Budget </t>
  </si>
  <si>
    <t>Actual vs Budget %</t>
  </si>
  <si>
    <t>Forecast vs Budget</t>
  </si>
  <si>
    <t>Forecast vs Budget %</t>
  </si>
  <si>
    <t>Revenue</t>
  </si>
  <si>
    <t>Direct opex</t>
  </si>
  <si>
    <t>Allocated overhead</t>
  </si>
  <si>
    <t>EBITDA</t>
  </si>
  <si>
    <t>Capex</t>
  </si>
  <si>
    <t>Production MWh</t>
  </si>
  <si>
    <t>Downtime hours</t>
  </si>
  <si>
    <t>Asset Performance Summary</t>
  </si>
  <si>
    <t xml:space="preserve">Asset </t>
  </si>
  <si>
    <t>Technology</t>
  </si>
  <si>
    <t>Actual Revenue</t>
  </si>
  <si>
    <t>Budget Revenue</t>
  </si>
  <si>
    <t>Revenue Var</t>
  </si>
  <si>
    <t>Actual EBITDA</t>
  </si>
  <si>
    <t>Budget EBITDA</t>
  </si>
  <si>
    <t>EBITDA Var</t>
  </si>
  <si>
    <t>EBITDA Var %</t>
  </si>
  <si>
    <t>Actual Downtime</t>
  </si>
  <si>
    <t>Budget Downtime</t>
  </si>
  <si>
    <t>Downtime Var</t>
  </si>
  <si>
    <t>EBITDA Variance Bridge</t>
  </si>
  <si>
    <t>Driver</t>
  </si>
  <si>
    <t>Amount</t>
  </si>
  <si>
    <t>Total variance</t>
  </si>
  <si>
    <t>Bridge check</t>
  </si>
  <si>
    <t>Scenario Model</t>
  </si>
  <si>
    <t>Price index</t>
  </si>
  <si>
    <t>Volume factor</t>
  </si>
  <si>
    <t>Opex inflation</t>
  </si>
  <si>
    <t>Downtime factor</t>
  </si>
  <si>
    <t>Scenario Revenue</t>
  </si>
  <si>
    <t>Revenue Delta</t>
  </si>
  <si>
    <t>Scenario EBITDA</t>
  </si>
  <si>
    <t>EBITDA Delta</t>
  </si>
  <si>
    <t>Selected scenario</t>
  </si>
  <si>
    <t>Total</t>
  </si>
  <si>
    <t>Scenario Output</t>
  </si>
  <si>
    <t>Value</t>
  </si>
  <si>
    <t>Portfolio budget revenue</t>
  </si>
  <si>
    <t>Portfolio scenario revenue</t>
  </si>
  <si>
    <t>Portfolio budget EBITDA</t>
  </si>
  <si>
    <t>Portfolio scenario EBITDA</t>
  </si>
  <si>
    <t>Metric</t>
  </si>
  <si>
    <t xml:space="preserve"> Budget</t>
  </si>
  <si>
    <t xml:space="preserve"> Scenario</t>
  </si>
  <si>
    <t>Renewable Energy Portfolio FP&amp;A Dashboard</t>
  </si>
  <si>
    <t>Monthly performance pack comparing actuals, budget, forecast, and key variance drivers.</t>
  </si>
  <si>
    <t>EBITDA variance</t>
  </si>
  <si>
    <t>Downtime variance</t>
  </si>
  <si>
    <t>Monthly Trend Summary</t>
  </si>
  <si>
    <t>Month</t>
  </si>
  <si>
    <t>Forecast Revenue</t>
  </si>
  <si>
    <t>Forecast EBITDA</t>
  </si>
  <si>
    <t>Management commentary</t>
  </si>
  <si>
    <t>Actual EBITDA is €18.2M below budget, mainly driven by higher opex, weaker realized prices, and ramp-up delays. Revenue is €10.5M below budget, while forecast revenue remains closer to budget, suggesting partial recovery but continued margin pressure. Noordzee Wind A is the largest downside contributor due to price and downtime exposure. The Hydrogen Pilot remains strategic but loss-making. Management should focus on maintenance control, price exposure, hydrogen ramp-up milestones, and whether battery storage continues to offset part of the portfolio downside.</t>
  </si>
  <si>
    <t>Renewable Energy Portfolio Monthly Performance Commentary</t>
  </si>
  <si>
    <t>Executive summary</t>
  </si>
  <si>
    <t>Asset-level interpretation</t>
  </si>
  <si>
    <t>Management watchpoints</t>
  </si>
  <si>
    <t>Synthetic data note</t>
  </si>
  <si>
    <t>Actual EBITDA finished €18.2M below budget, with the downside mainly explained by higher opex, weaker realized prices, and ramp-up delays. Revenue was €10.5M below budget, while forecast revenue remained closer to budget, indicating partial recovery but continued margin pressure.</t>
  </si>
  <si>
    <t>1. Opex was the largest EBITDA drag, reflecting maintenance pressure and higher operating costs.</t>
  </si>
  <si>
    <t>2. Price variance was the second largest driver, mainly affecting the wind-heavy portfolio base.</t>
  </si>
  <si>
    <t>3. Ramp-up and downtime effects added further downside, especially for the Hydrogen Pilot and Noordzee Wind A.</t>
  </si>
  <si>
    <t>Noordzee Wind A remains the largest revenue and EBITDA contributor, but also the largest downside contributor because of price exposure and downtime.</t>
  </si>
  <si>
    <t>Solar assets performed more steadily, with smaller variance and clearer seasonal patterns.</t>
  </si>
  <si>
    <t>Rotterdam Battery D showed positive scenario upside, suggesting improving operational contribution.</t>
  </si>
  <si>
    <t>Groningen Hydrogen Pilot E remains strategically relevant but is currently a short-term EBITDA drag.</t>
  </si>
  <si>
    <t>Monitor maintenance spend and unplanned downtime on Noordzee Wind A.</t>
  </si>
  <si>
    <t>Reassess price exposure assumptions in the forecast.</t>
  </si>
  <si>
    <t>Track Hydrogen Pilot ramp-up milestones before increasing investment assumptions.</t>
  </si>
  <si>
    <t>Review whether battery storage performance can offset part of the portfolio downside.</t>
  </si>
  <si>
    <t>This workbook uses synthetic data created for portfolio demonstration purposes. Figures are illustrative and do not represent any real company, project, or market recommendation.</t>
  </si>
  <si>
    <t>Renewable Energy Portfolio FP&amp;A &amp; Business Control Model</t>
  </si>
  <si>
    <t>Workbook purpose</t>
  </si>
  <si>
    <t>How to use this workbook</t>
  </si>
  <si>
    <t>Workbook structure</t>
  </si>
  <si>
    <t>Synthetic data disclaimer</t>
  </si>
  <si>
    <t>This workbook is a synthetic FP&amp;A and business control model for a renewable energy asset portfolio. It compares actuals, budget, and forecast performance across revenue, EBITDA, production, downtime, and variance drivers.</t>
  </si>
  <si>
    <t>1. Start with the Management Dashboard for the executive view.</t>
  </si>
  <si>
    <t>2. Review the Calculations sheet for portfolio and asset-level summaries.</t>
  </si>
  <si>
    <t>3. Use the Variance Analysis sheet to understand the EBITDA bridge from budget to actual.</t>
  </si>
  <si>
    <t>4. Use the Scenario Model to test Downside, Base, and Upside assumptions.</t>
  </si>
  <si>
    <t>5. Read the Commentary Pack for the management interpretation.</t>
  </si>
  <si>
    <t>00_ReadMe: Workbook guide and usage notes</t>
  </si>
  <si>
    <t>01_Assumptions: Business assumptions and scenario logic</t>
  </si>
  <si>
    <t>02_Raw_Data_Checks: Row count and data integrity checks</t>
  </si>
  <si>
    <t>03_PQ_Actuals / 04_PQ_Budget / 05_PQ_Forecast: Imported raw data tables</t>
  </si>
  <si>
    <t>06_Calculations: Portfolio, asset-level, and monthly trend summaries</t>
  </si>
  <si>
    <t>07_Variance_Analysis: EBITDA variance bridge</t>
  </si>
  <si>
    <t>08_Scenario_Model: Scenario assumptions and sensitivity output</t>
  </si>
  <si>
    <t>09_Management_Dashboard: Final management dashboard</t>
  </si>
  <si>
    <t>10_Commentary_Pack: Written management interpretation</t>
  </si>
  <si>
    <t>11_PQ_Combined: Combined Power Query output table</t>
  </si>
  <si>
    <t>Model Assumptions</t>
  </si>
  <si>
    <t>Portfolio scope</t>
  </si>
  <si>
    <t>Scenario logic</t>
  </si>
  <si>
    <t>Limitations</t>
  </si>
  <si>
    <t>Key modeling assumptions</t>
  </si>
  <si>
    <t>The model represents a synthetic renewable energy portfolio with offshore wind, solar PV, battery storage, and hydrogen pilot assets.</t>
  </si>
  <si>
    <t>The reporting period covers monthly performance from Jan-25 to Dec-26.</t>
  </si>
  <si>
    <t>The model compares actuals, budget, and forecast performance across revenue, EBITDA, capex, production, downtime, and availability.</t>
  </si>
  <si>
    <t>Downside: lower price realization, weaker production, higher opex inflation, higher downtime, and delayed capex/ramp-up.</t>
  </si>
  <si>
    <t>Base: moderate price and volume assumptions with continued margin pressure.</t>
  </si>
  <si>
    <t>Upside: stronger price realization, better utilization, lower downtime, and improved operating leverage.</t>
  </si>
  <si>
    <t>Revenue is modeled as production volume multiplied by realized price, with battery and hydrogen treated as MWh-equivalent output.</t>
  </si>
  <si>
    <t>EBITDA equals revenue minus direct opex and allocated overhead.</t>
  </si>
  <si>
    <t>Variance drivers classify EBITDA movement into price, volume, downtime, ramp-up, opex, and timing/mix effects.</t>
  </si>
  <si>
    <t>Solar production follows seasonal patterns, while offshore wind has stronger winter production.</t>
  </si>
  <si>
    <t>Hydrogen is treated as a strategic pilot asset with delayed ramp-up and negative short-term EBITDA.</t>
  </si>
  <si>
    <t>Battery storage is modeled as volatile but improving over time.</t>
  </si>
  <si>
    <t>The model uses synthetic data and simplified business logic for portfolio demonstration purposes.</t>
  </si>
  <si>
    <t>It does not represent real market recommendations, proprietary company data, or actual project economics.</t>
  </si>
  <si>
    <t>In a real FP&amp;A setting, assumptions would require source validation, stakeholder review, sensitivity testing, and reconciliation to accounting systems.</t>
  </si>
  <si>
    <t>Raw Data Checks</t>
  </si>
  <si>
    <t>Check</t>
  </si>
  <si>
    <t>Result</t>
  </si>
  <si>
    <t>Expected</t>
  </si>
  <si>
    <t>Status</t>
  </si>
  <si>
    <t>Assets row count</t>
  </si>
  <si>
    <t>Actuals row count</t>
  </si>
  <si>
    <t>Budget row count</t>
  </si>
  <si>
    <t>Forecast row count</t>
  </si>
  <si>
    <t>Variance driver row count</t>
  </si>
  <si>
    <t>Combined table row count</t>
  </si>
  <si>
    <t>12_Input_Assets: Asset master data</t>
  </si>
  <si>
    <t>13_Input_Assumptions: Scenario assumption inputs</t>
  </si>
  <si>
    <t>14_Input_VarianceDrivers: EBITDA variance driver detail table</t>
  </si>
  <si>
    <t>Key Drivers</t>
  </si>
  <si>
    <t>Version 1.0  -  Last updated: 23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</si>
</sst>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* #,##0_-;\-* #,##0_-;_-* &quot;-&quot;??_-;_-@_-"/>
    <numFmt numFmtId="165" formatCode="_-[$€-2]\ * #,##0_-;\-[$€-2]\ * #,##0_-;_-[$€-2]\ 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6"/>
      <color theme="4" tint="-0.499984740745262"/>
      <name val="Calibri"/>
      <family val="2"/>
      <scheme val="minor"/>
    </font>
    <font>
      <sz val="18"/>
      <color theme="4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386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8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7" fontId="0" fillId="0" borderId="0" xfId="0" applyNumberFormat="1"/>
    <xf numFmtId="0" fontId="0" fillId="0" borderId="0" xfId="0" applyAlignment="1">
      <alignment wrapText="1"/>
    </xf>
    <xf numFmtId="0" fontId="0" fillId="6" borderId="3" xfId="0" applyFill="1" applyBorder="1"/>
    <xf numFmtId="0" fontId="0" fillId="6" borderId="0" xfId="0" applyFill="1"/>
    <xf numFmtId="0" fontId="0" fillId="6" borderId="4" xfId="0" applyFill="1" applyBorder="1"/>
    <xf numFmtId="0" fontId="0" fillId="6" borderId="2" xfId="0" applyFill="1" applyBorder="1"/>
    <xf numFmtId="0" fontId="0" fillId="6" borderId="1" xfId="0" applyFill="1" applyBorder="1"/>
    <xf numFmtId="0" fontId="0" fillId="6" borderId="5" xfId="0" applyFill="1" applyBorder="1"/>
    <xf numFmtId="0" fontId="3" fillId="6" borderId="3" xfId="0" applyFont="1" applyFill="1" applyBorder="1"/>
    <xf numFmtId="0" fontId="3" fillId="6" borderId="0" xfId="0" applyFont="1" applyFill="1"/>
    <xf numFmtId="0" fontId="3" fillId="6" borderId="4" xfId="0" applyFont="1" applyFill="1" applyBorder="1"/>
    <xf numFmtId="0" fontId="3" fillId="6" borderId="2" xfId="0" applyFont="1" applyFill="1" applyBorder="1"/>
    <xf numFmtId="164" fontId="8" fillId="0" borderId="0" xfId="1" applyNumberFormat="1" applyFont="1"/>
    <xf numFmtId="164" fontId="8" fillId="0" borderId="0" xfId="0" applyNumberFormat="1" applyFont="1"/>
    <xf numFmtId="165" fontId="8" fillId="0" borderId="0" xfId="2" applyNumberFormat="1" applyFont="1"/>
    <xf numFmtId="10" fontId="8" fillId="0" borderId="0" xfId="3" applyNumberFormat="1" applyFont="1"/>
    <xf numFmtId="43" fontId="8" fillId="0" borderId="0" xfId="1" applyFont="1"/>
    <xf numFmtId="0" fontId="8" fillId="0" borderId="0" xfId="2" applyNumberFormat="1" applyFont="1"/>
    <xf numFmtId="9" fontId="8" fillId="0" borderId="0" xfId="3" applyFont="1"/>
    <xf numFmtId="0" fontId="8" fillId="0" borderId="0" xfId="0" applyFont="1"/>
    <xf numFmtId="165" fontId="8" fillId="0" borderId="0" xfId="0" applyNumberFormat="1" applyFont="1"/>
    <xf numFmtId="17" fontId="8" fillId="0" borderId="0" xfId="0" applyNumberFormat="1" applyFont="1"/>
    <xf numFmtId="0" fontId="8" fillId="6" borderId="0" xfId="0" applyFont="1" applyFill="1"/>
    <xf numFmtId="0" fontId="8" fillId="6" borderId="1" xfId="0" applyFont="1" applyFill="1" applyBorder="1"/>
    <xf numFmtId="0" fontId="8" fillId="6" borderId="4" xfId="0" applyFont="1" applyFill="1" applyBorder="1" applyAlignment="1">
      <alignment horizontal="right"/>
    </xf>
    <xf numFmtId="0" fontId="8" fillId="6" borderId="5" xfId="0" applyFont="1" applyFill="1" applyBorder="1" applyAlignment="1">
      <alignment horizontal="right"/>
    </xf>
    <xf numFmtId="0" fontId="12" fillId="0" borderId="0" xfId="0" applyFont="1"/>
    <xf numFmtId="14" fontId="12" fillId="0" borderId="0" xfId="0" applyNumberFormat="1" applyFont="1"/>
    <xf numFmtId="0" fontId="2" fillId="7" borderId="0" xfId="0" applyFont="1" applyFill="1" applyAlignment="1">
      <alignment horizontal="center" vertical="top" wrapText="1"/>
    </xf>
    <xf numFmtId="0" fontId="0" fillId="6" borderId="6" xfId="0" applyFill="1" applyBorder="1" applyAlignment="1">
      <alignment horizontal="left" vertical="top" wrapText="1"/>
    </xf>
    <xf numFmtId="0" fontId="0" fillId="6" borderId="7" xfId="0" applyFill="1" applyBorder="1" applyAlignment="1">
      <alignment horizontal="left" vertical="top" wrapText="1"/>
    </xf>
    <xf numFmtId="0" fontId="0" fillId="6" borderId="8" xfId="0" applyFill="1" applyBorder="1" applyAlignment="1">
      <alignment horizontal="left" vertical="top" wrapText="1"/>
    </xf>
    <xf numFmtId="0" fontId="0" fillId="6" borderId="2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0" fillId="6" borderId="5" xfId="0" applyFill="1" applyBorder="1" applyAlignment="1">
      <alignment horizontal="left" vertical="top" wrapText="1"/>
    </xf>
    <xf numFmtId="0" fontId="2" fillId="7" borderId="0" xfId="0" applyFont="1" applyFill="1" applyAlignment="1">
      <alignment horizontal="center" vertical="top"/>
    </xf>
    <xf numFmtId="0" fontId="2" fillId="7" borderId="6" xfId="0" applyFont="1" applyFill="1" applyBorder="1" applyAlignment="1">
      <alignment horizontal="center" vertical="top" wrapText="1"/>
    </xf>
    <xf numFmtId="0" fontId="2" fillId="7" borderId="7" xfId="0" applyFont="1" applyFill="1" applyBorder="1" applyAlignment="1">
      <alignment horizontal="center" vertical="top" wrapText="1"/>
    </xf>
    <xf numFmtId="0" fontId="2" fillId="7" borderId="8" xfId="0" applyFont="1" applyFill="1" applyBorder="1" applyAlignment="1">
      <alignment horizontal="center" vertical="top" wrapText="1"/>
    </xf>
    <xf numFmtId="0" fontId="2" fillId="7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0" fillId="6" borderId="3" xfId="0" applyFill="1" applyBorder="1" applyAlignment="1">
      <alignment horizontal="left" vertical="top"/>
    </xf>
    <xf numFmtId="0" fontId="0" fillId="6" borderId="0" xfId="0" applyFill="1" applyAlignment="1">
      <alignment horizontal="left" vertical="top"/>
    </xf>
    <xf numFmtId="0" fontId="0" fillId="6" borderId="4" xfId="0" applyFill="1" applyBorder="1" applyAlignment="1">
      <alignment horizontal="left" vertical="top"/>
    </xf>
    <xf numFmtId="0" fontId="0" fillId="6" borderId="3" xfId="0" applyFill="1" applyBorder="1" applyAlignment="1">
      <alignment horizontal="left" vertical="top" wrapText="1"/>
    </xf>
    <xf numFmtId="0" fontId="8" fillId="6" borderId="0" xfId="0" applyFont="1" applyFill="1" applyAlignment="1">
      <alignment horizontal="left" vertical="top" wrapText="1"/>
    </xf>
    <xf numFmtId="0" fontId="0" fillId="6" borderId="0" xfId="0" applyFill="1" applyAlignment="1">
      <alignment horizontal="left" vertical="top" wrapText="1"/>
    </xf>
    <xf numFmtId="0" fontId="0" fillId="6" borderId="4" xfId="0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/>
    </xf>
    <xf numFmtId="0" fontId="8" fillId="6" borderId="7" xfId="0" applyFont="1" applyFill="1" applyBorder="1" applyAlignment="1">
      <alignment horizontal="left" vertical="top"/>
    </xf>
    <xf numFmtId="0" fontId="0" fillId="6" borderId="7" xfId="0" applyFill="1" applyBorder="1" applyAlignment="1">
      <alignment horizontal="left" vertical="top"/>
    </xf>
    <xf numFmtId="0" fontId="0" fillId="6" borderId="8" xfId="0" applyFill="1" applyBorder="1" applyAlignment="1">
      <alignment horizontal="left" vertical="top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6" borderId="0" xfId="0" applyFill="1" applyAlignment="1">
      <alignment horizontal="left"/>
    </xf>
    <xf numFmtId="0" fontId="0" fillId="6" borderId="4" xfId="0" applyFill="1" applyBorder="1" applyAlignment="1">
      <alignment horizontal="left"/>
    </xf>
    <xf numFmtId="0" fontId="0" fillId="6" borderId="0" xfId="0" applyFill="1" applyAlignment="1">
      <alignment horizontal="left" vertical="center"/>
    </xf>
    <xf numFmtId="0" fontId="0" fillId="6" borderId="4" xfId="0" applyFill="1" applyBorder="1" applyAlignment="1">
      <alignment horizontal="left" vertical="center"/>
    </xf>
    <xf numFmtId="0" fontId="0" fillId="6" borderId="3" xfId="0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0" fillId="6" borderId="3" xfId="0" applyFill="1" applyBorder="1" applyAlignment="1">
      <alignment horizontal="left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6" borderId="2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6" borderId="5" xfId="0" applyFill="1" applyBorder="1" applyAlignment="1">
      <alignment horizontal="left"/>
    </xf>
    <xf numFmtId="0" fontId="8" fillId="6" borderId="0" xfId="0" applyFont="1" applyFill="1" applyAlignment="1">
      <alignment horizontal="left"/>
    </xf>
    <xf numFmtId="0" fontId="9" fillId="7" borderId="0" xfId="0" applyFont="1" applyFill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0" fillId="4" borderId="0" xfId="0" applyFill="1" applyAlignment="1">
      <alignment horizontal="left" vertical="center" wrapText="1"/>
    </xf>
    <xf numFmtId="0" fontId="4" fillId="2" borderId="0" xfId="0" applyFont="1" applyFill="1" applyAlignment="1">
      <alignment horizontal="center"/>
    </xf>
    <xf numFmtId="1" fontId="11" fillId="2" borderId="0" xfId="1" applyNumberFormat="1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165" fontId="11" fillId="2" borderId="0" xfId="0" applyNumberFormat="1" applyFont="1" applyFill="1" applyAlignment="1">
      <alignment horizontal="center"/>
    </xf>
    <xf numFmtId="0" fontId="2" fillId="5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5" xfId="0" applyFont="1" applyFill="1" applyBorder="1" applyAlignment="1">
      <alignment horizontal="center" vertical="top" wrapText="1"/>
    </xf>
    <xf numFmtId="0" fontId="0" fillId="6" borderId="3" xfId="0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top" wrapText="1"/>
    </xf>
    <xf numFmtId="0" fontId="2" fillId="5" borderId="0" xfId="0" applyFont="1" applyFill="1" applyAlignment="1">
      <alignment horizontal="center" vertical="top" wrapText="1"/>
    </xf>
    <xf numFmtId="0" fontId="2" fillId="5" borderId="4" xfId="0" applyFont="1" applyFill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top" wrapText="1"/>
    </xf>
    <xf numFmtId="0" fontId="2" fillId="5" borderId="3" xfId="0" applyFont="1" applyFill="1" applyBorder="1" applyAlignment="1">
      <alignment horizontal="center" wrapText="1"/>
    </xf>
    <xf numFmtId="0" fontId="2" fillId="5" borderId="0" xfId="0" applyFont="1" applyFill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0" fillId="6" borderId="3" xfId="0" applyFill="1" applyBorder="1" applyAlignment="1">
      <alignment vertical="center" wrapText="1"/>
    </xf>
    <xf numFmtId="0" fontId="0" fillId="6" borderId="4" xfId="0" applyFill="1" applyBorder="1" applyAlignment="1">
      <alignment vertical="center" wrapText="1"/>
    </xf>
    <xf numFmtId="0" fontId="0" fillId="6" borderId="0" xfId="0" applyFill="1" applyBorder="1" applyAlignment="1">
      <alignment horizontal="center" vertical="center" wrapText="1"/>
    </xf>
    <xf numFmtId="0" fontId="0" fillId="6" borderId="0" xfId="0" applyFill="1" applyBorder="1" applyAlignment="1">
      <alignment vertical="center" wrapText="1"/>
    </xf>
    <xf numFmtId="0" fontId="13" fillId="2" borderId="0" xfId="0" applyFont="1" applyFill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76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Revenue trend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'06_Calculations'!$B$26</c:f>
              <c:strCache>
                <c:ptCount val="1"/>
                <c:pt idx="0">
                  <c:v>Actual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'06_Calculations'!$A$27:$A$50</c:f>
              <c:numCache>
                <c:formatCode>mmm\-yy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'06_Calculations'!$B$27:$B$50</c:f>
              <c:numCache>
                <c:formatCode>_-[$€-2]\ * #,##0_-;\-[$€-2]\ * #,##0_-;_-[$€-2]\ * "-"??_-;_-@_-</c:formatCode>
                <c:ptCount val="24"/>
                <c:pt idx="0">
                  <c:v>6212435</c:v>
                </c:pt>
                <c:pt idx="1">
                  <c:v>5646508</c:v>
                </c:pt>
                <c:pt idx="2">
                  <c:v>5936102</c:v>
                </c:pt>
                <c:pt idx="3">
                  <c:v>4702421</c:v>
                </c:pt>
                <c:pt idx="4">
                  <c:v>4293722</c:v>
                </c:pt>
                <c:pt idx="5">
                  <c:v>3972882</c:v>
                </c:pt>
                <c:pt idx="6">
                  <c:v>4165986</c:v>
                </c:pt>
                <c:pt idx="7">
                  <c:v>4127765</c:v>
                </c:pt>
                <c:pt idx="8">
                  <c:v>4879266</c:v>
                </c:pt>
                <c:pt idx="9">
                  <c:v>5586206</c:v>
                </c:pt>
                <c:pt idx="10">
                  <c:v>5794661</c:v>
                </c:pt>
                <c:pt idx="11">
                  <c:v>7362190</c:v>
                </c:pt>
                <c:pt idx="12">
                  <c:v>7330978</c:v>
                </c:pt>
                <c:pt idx="13">
                  <c:v>6206148</c:v>
                </c:pt>
                <c:pt idx="14">
                  <c:v>6484996</c:v>
                </c:pt>
                <c:pt idx="15">
                  <c:v>5671457</c:v>
                </c:pt>
                <c:pt idx="16">
                  <c:v>5311856</c:v>
                </c:pt>
                <c:pt idx="17">
                  <c:v>4922463</c:v>
                </c:pt>
                <c:pt idx="18">
                  <c:v>4921035</c:v>
                </c:pt>
                <c:pt idx="19">
                  <c:v>5199587</c:v>
                </c:pt>
                <c:pt idx="20">
                  <c:v>5783056</c:v>
                </c:pt>
                <c:pt idx="21">
                  <c:v>6551792</c:v>
                </c:pt>
                <c:pt idx="22">
                  <c:v>7557749</c:v>
                </c:pt>
                <c:pt idx="23">
                  <c:v>8176669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90-487D-B15C-7B7A6F132C46}"/>
            </c:ext>
          </c:extLst>
        </c:ser>
        <c:ser>
          <c:idx val="1"/>
          <c:order val="1"/>
          <c:tx>
            <c:strRef>
              <c:f>'06_Calculations'!$C$26</c:f>
              <c:strCache>
                <c:ptCount val="1"/>
                <c:pt idx="0">
                  <c:v>Budget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'06_Calculations'!$A$27:$A$50</c:f>
              <c:numCache>
                <c:formatCode>mmm\-yy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'06_Calculations'!$C$27:$C$50</c:f>
              <c:numCache>
                <c:formatCode>_-[$€-2]\ * #,##0_-;\-[$€-2]\ * #,##0_-;_-[$€-2]\ * "-"??_-;_-@_-</c:formatCode>
                <c:ptCount val="24"/>
                <c:pt idx="0">
                  <c:v>7317462</c:v>
                </c:pt>
                <c:pt idx="1">
                  <c:v>6282915</c:v>
                </c:pt>
                <c:pt idx="2">
                  <c:v>6358586</c:v>
                </c:pt>
                <c:pt idx="3">
                  <c:v>5386728</c:v>
                </c:pt>
                <c:pt idx="4">
                  <c:v>5018343</c:v>
                </c:pt>
                <c:pt idx="5">
                  <c:v>4539130</c:v>
                </c:pt>
                <c:pt idx="6">
                  <c:v>4542307</c:v>
                </c:pt>
                <c:pt idx="7">
                  <c:v>4826686</c:v>
                </c:pt>
                <c:pt idx="8">
                  <c:v>5358944</c:v>
                </c:pt>
                <c:pt idx="9">
                  <c:v>6302300</c:v>
                </c:pt>
                <c:pt idx="10">
                  <c:v>7053556</c:v>
                </c:pt>
                <c:pt idx="11">
                  <c:v>8116782</c:v>
                </c:pt>
                <c:pt idx="12">
                  <c:v>7690596</c:v>
                </c:pt>
                <c:pt idx="13">
                  <c:v>6665954</c:v>
                </c:pt>
                <c:pt idx="14">
                  <c:v>6747467</c:v>
                </c:pt>
                <c:pt idx="15">
                  <c:v>5806540</c:v>
                </c:pt>
                <c:pt idx="16">
                  <c:v>5466524</c:v>
                </c:pt>
                <c:pt idx="17">
                  <c:v>4999203</c:v>
                </c:pt>
                <c:pt idx="18">
                  <c:v>5020232</c:v>
                </c:pt>
                <c:pt idx="19">
                  <c:v>5300572</c:v>
                </c:pt>
                <c:pt idx="20">
                  <c:v>5810473</c:v>
                </c:pt>
                <c:pt idx="21">
                  <c:v>6736403</c:v>
                </c:pt>
                <c:pt idx="22">
                  <c:v>7485077</c:v>
                </c:pt>
                <c:pt idx="23">
                  <c:v>8495859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90-487D-B15C-7B7A6F132C46}"/>
            </c:ext>
          </c:extLst>
        </c:ser>
        <c:ser>
          <c:idx val="2"/>
          <c:order val="2"/>
          <c:tx>
            <c:strRef>
              <c:f>'06_Calculations'!$D$26</c:f>
              <c:strCache>
                <c:ptCount val="1"/>
                <c:pt idx="0">
                  <c:v>Forecast Revenue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'06_Calculations'!$A$27:$A$50</c:f>
              <c:numCache>
                <c:formatCode>mmm\-yy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'06_Calculations'!$D$27:$D$50</c:f>
              <c:numCache>
                <c:formatCode>_-[$€-2]\ * #,##0_-;\-[$€-2]\ * #,##0_-;_-[$€-2]\ * "-"??_-;_-@_-</c:formatCode>
                <c:ptCount val="24"/>
                <c:pt idx="0">
                  <c:v>6669851</c:v>
                </c:pt>
                <c:pt idx="1">
                  <c:v>5736093</c:v>
                </c:pt>
                <c:pt idx="2">
                  <c:v>5827983</c:v>
                </c:pt>
                <c:pt idx="3">
                  <c:v>4956826</c:v>
                </c:pt>
                <c:pt idx="4">
                  <c:v>4632839</c:v>
                </c:pt>
                <c:pt idx="5">
                  <c:v>4201265</c:v>
                </c:pt>
                <c:pt idx="6">
                  <c:v>4207456</c:v>
                </c:pt>
                <c:pt idx="7">
                  <c:v>4464088</c:v>
                </c:pt>
                <c:pt idx="8">
                  <c:v>4942570</c:v>
                </c:pt>
                <c:pt idx="9">
                  <c:v>5786098</c:v>
                </c:pt>
                <c:pt idx="10">
                  <c:v>6476848</c:v>
                </c:pt>
                <c:pt idx="11">
                  <c:v>7446401</c:v>
                </c:pt>
                <c:pt idx="12">
                  <c:v>7366174</c:v>
                </c:pt>
                <c:pt idx="13">
                  <c:v>6429149</c:v>
                </c:pt>
                <c:pt idx="14">
                  <c:v>6494290</c:v>
                </c:pt>
                <c:pt idx="15">
                  <c:v>5627886</c:v>
                </c:pt>
                <c:pt idx="16">
                  <c:v>5319610</c:v>
                </c:pt>
                <c:pt idx="17">
                  <c:v>4889100</c:v>
                </c:pt>
                <c:pt idx="18">
                  <c:v>4912588</c:v>
                </c:pt>
                <c:pt idx="19">
                  <c:v>5226723</c:v>
                </c:pt>
                <c:pt idx="20">
                  <c:v>5701837</c:v>
                </c:pt>
                <c:pt idx="21">
                  <c:v>6561174</c:v>
                </c:pt>
                <c:pt idx="22">
                  <c:v>7300652</c:v>
                </c:pt>
                <c:pt idx="23">
                  <c:v>8250976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90-487D-B15C-7B7A6F132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0607056"/>
        <c:axId val="1170620671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'06_Calculations'!$E$26</c15:sqref>
                        </c15:formulaRef>
                      </c:ext>
                    </c:extLst>
                    <c:strCache>
                      <c:ptCount val="1"/>
                      <c:pt idx="0">
                        <c:v>Actual EBITDA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'06_Calculations'!$A$27:$A$50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  <c:pt idx="15">
                        <c:v>46113</c:v>
                      </c:pt>
                      <c:pt idx="16">
                        <c:v>46143</c:v>
                      </c:pt>
                      <c:pt idx="17">
                        <c:v>46174</c:v>
                      </c:pt>
                      <c:pt idx="18">
                        <c:v>46204</c:v>
                      </c:pt>
                      <c:pt idx="19">
                        <c:v>46235</c:v>
                      </c:pt>
                      <c:pt idx="20">
                        <c:v>46266</c:v>
                      </c:pt>
                      <c:pt idx="21">
                        <c:v>46296</c:v>
                      </c:pt>
                      <c:pt idx="22">
                        <c:v>46327</c:v>
                      </c:pt>
                      <c:pt idx="23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'06_Calculations'!$E$27:$E$50</c15:sqref>
                        </c15:formulaRef>
                      </c:ext>
                    </c:extLst>
                    <c:numCache>
                      <c:formatCode>_-[$€-2]\ * #,##0_-;\-[$€-2]\ * #,##0_-;_-[$€-2]\ * "-"??_-;_-@_-</c:formatCode>
                      <c:ptCount val="24"/>
                      <c:pt idx="0">
                        <c:v>3329129</c:v>
                      </c:pt>
                      <c:pt idx="1">
                        <c:v>2800724</c:v>
                      </c:pt>
                      <c:pt idx="2">
                        <c:v>2980174</c:v>
                      </c:pt>
                      <c:pt idx="3">
                        <c:v>1491709</c:v>
                      </c:pt>
                      <c:pt idx="4">
                        <c:v>1285300</c:v>
                      </c:pt>
                      <c:pt idx="5">
                        <c:v>1170387</c:v>
                      </c:pt>
                      <c:pt idx="6">
                        <c:v>1336141</c:v>
                      </c:pt>
                      <c:pt idx="7">
                        <c:v>1253877</c:v>
                      </c:pt>
                      <c:pt idx="8">
                        <c:v>1940431</c:v>
                      </c:pt>
                      <c:pt idx="9">
                        <c:v>2463792</c:v>
                      </c:pt>
                      <c:pt idx="10">
                        <c:v>2580557</c:v>
                      </c:pt>
                      <c:pt idx="11">
                        <c:v>4219638</c:v>
                      </c:pt>
                      <c:pt idx="12">
                        <c:v>4221537</c:v>
                      </c:pt>
                      <c:pt idx="13">
                        <c:v>3046499</c:v>
                      </c:pt>
                      <c:pt idx="14">
                        <c:v>3400566</c:v>
                      </c:pt>
                      <c:pt idx="15">
                        <c:v>2490900</c:v>
                      </c:pt>
                      <c:pt idx="16">
                        <c:v>2245315</c:v>
                      </c:pt>
                      <c:pt idx="17">
                        <c:v>1901030</c:v>
                      </c:pt>
                      <c:pt idx="18">
                        <c:v>1883726</c:v>
                      </c:pt>
                      <c:pt idx="19">
                        <c:v>2117389</c:v>
                      </c:pt>
                      <c:pt idx="20">
                        <c:v>2648765</c:v>
                      </c:pt>
                      <c:pt idx="21">
                        <c:v>3077943</c:v>
                      </c:pt>
                      <c:pt idx="22">
                        <c:v>4288897</c:v>
                      </c:pt>
                      <c:pt idx="23">
                        <c:v>4821136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6190-487D-B15C-7B7A6F132C4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'06_Calculations'!$F$26</c15:sqref>
                        </c15:formulaRef>
                      </c:ext>
                    </c:extLst>
                    <c:strCache>
                      <c:ptCount val="1"/>
                      <c:pt idx="0">
                        <c:v>Budget EBITDA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'06_Calculations'!$A$27:$A$50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  <c:pt idx="15">
                        <c:v>46113</c:v>
                      </c:pt>
                      <c:pt idx="16">
                        <c:v>46143</c:v>
                      </c:pt>
                      <c:pt idx="17">
                        <c:v>46174</c:v>
                      </c:pt>
                      <c:pt idx="18">
                        <c:v>46204</c:v>
                      </c:pt>
                      <c:pt idx="19">
                        <c:v>46235</c:v>
                      </c:pt>
                      <c:pt idx="20">
                        <c:v>46266</c:v>
                      </c:pt>
                      <c:pt idx="21">
                        <c:v>46296</c:v>
                      </c:pt>
                      <c:pt idx="22">
                        <c:v>46327</c:v>
                      </c:pt>
                      <c:pt idx="23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'06_Calculations'!$F$27:$F$50</c15:sqref>
                        </c15:formulaRef>
                      </c:ext>
                    </c:extLst>
                    <c:numCache>
                      <c:formatCode>_-[$€-2]\ * #,##0_-;\-[$€-2]\ * #,##0_-;_-[$€-2]\ * "-"??_-;_-@_-</c:formatCode>
                      <c:ptCount val="24"/>
                      <c:pt idx="0">
                        <c:v>4704361</c:v>
                      </c:pt>
                      <c:pt idx="1">
                        <c:v>3744957</c:v>
                      </c:pt>
                      <c:pt idx="2">
                        <c:v>3758716</c:v>
                      </c:pt>
                      <c:pt idx="3">
                        <c:v>2729398</c:v>
                      </c:pt>
                      <c:pt idx="4">
                        <c:v>2473396</c:v>
                      </c:pt>
                      <c:pt idx="5">
                        <c:v>2020341</c:v>
                      </c:pt>
                      <c:pt idx="6">
                        <c:v>1991778</c:v>
                      </c:pt>
                      <c:pt idx="7">
                        <c:v>2241972</c:v>
                      </c:pt>
                      <c:pt idx="8">
                        <c:v>2739413</c:v>
                      </c:pt>
                      <c:pt idx="9">
                        <c:v>3477180</c:v>
                      </c:pt>
                      <c:pt idx="10">
                        <c:v>4299359</c:v>
                      </c:pt>
                      <c:pt idx="11">
                        <c:v>5275795</c:v>
                      </c:pt>
                      <c:pt idx="12">
                        <c:v>4838970</c:v>
                      </c:pt>
                      <c:pt idx="13">
                        <c:v>3910622</c:v>
                      </c:pt>
                      <c:pt idx="14">
                        <c:v>3909073</c:v>
                      </c:pt>
                      <c:pt idx="15">
                        <c:v>2917736</c:v>
                      </c:pt>
                      <c:pt idx="16">
                        <c:v>2683050</c:v>
                      </c:pt>
                      <c:pt idx="17">
                        <c:v>2248938</c:v>
                      </c:pt>
                      <c:pt idx="18">
                        <c:v>2231179</c:v>
                      </c:pt>
                      <c:pt idx="19">
                        <c:v>2477331</c:v>
                      </c:pt>
                      <c:pt idx="20">
                        <c:v>2959468</c:v>
                      </c:pt>
                      <c:pt idx="21">
                        <c:v>3672758</c:v>
                      </c:pt>
                      <c:pt idx="22">
                        <c:v>4500443</c:v>
                      </c:pt>
                      <c:pt idx="23">
                        <c:v>5435631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190-487D-B15C-7B7A6F132C4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'06_Calculations'!$G$26</c15:sqref>
                        </c15:formulaRef>
                      </c:ext>
                    </c:extLst>
                    <c:strCache>
                      <c:ptCount val="1"/>
                      <c:pt idx="0">
                        <c:v>Forecast EBITDA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'06_Calculations'!$A$27:$A$50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  <c:pt idx="15">
                        <c:v>46113</c:v>
                      </c:pt>
                      <c:pt idx="16">
                        <c:v>46143</c:v>
                      </c:pt>
                      <c:pt idx="17">
                        <c:v>46174</c:v>
                      </c:pt>
                      <c:pt idx="18">
                        <c:v>46204</c:v>
                      </c:pt>
                      <c:pt idx="19">
                        <c:v>46235</c:v>
                      </c:pt>
                      <c:pt idx="20">
                        <c:v>46266</c:v>
                      </c:pt>
                      <c:pt idx="21">
                        <c:v>46296</c:v>
                      </c:pt>
                      <c:pt idx="22">
                        <c:v>46327</c:v>
                      </c:pt>
                      <c:pt idx="23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'06_Calculations'!$G$27:$G$50</c15:sqref>
                        </c15:formulaRef>
                      </c:ext>
                    </c:extLst>
                    <c:numCache>
                      <c:formatCode>_-[$€-2]\ * #,##0_-;\-[$€-2]\ * #,##0_-;_-[$€-2]\ * "-"??_-;_-@_-</c:formatCode>
                      <c:ptCount val="24"/>
                      <c:pt idx="0">
                        <c:v>3859720</c:v>
                      </c:pt>
                      <c:pt idx="1">
                        <c:v>3006191</c:v>
                      </c:pt>
                      <c:pt idx="2">
                        <c:v>3030246</c:v>
                      </c:pt>
                      <c:pt idx="3">
                        <c:v>2097521</c:v>
                      </c:pt>
                      <c:pt idx="4">
                        <c:v>1891969</c:v>
                      </c:pt>
                      <c:pt idx="5">
                        <c:v>1487792</c:v>
                      </c:pt>
                      <c:pt idx="6">
                        <c:v>1458536</c:v>
                      </c:pt>
                      <c:pt idx="7">
                        <c:v>1677316</c:v>
                      </c:pt>
                      <c:pt idx="8">
                        <c:v>2117661</c:v>
                      </c:pt>
                      <c:pt idx="9">
                        <c:v>2739918</c:v>
                      </c:pt>
                      <c:pt idx="10">
                        <c:v>3505275</c:v>
                      </c:pt>
                      <c:pt idx="11">
                        <c:v>4380315</c:v>
                      </c:pt>
                      <c:pt idx="12">
                        <c:v>4326375</c:v>
                      </c:pt>
                      <c:pt idx="13">
                        <c:v>3492633</c:v>
                      </c:pt>
                      <c:pt idx="14">
                        <c:v>3468265</c:v>
                      </c:pt>
                      <c:pt idx="15">
                        <c:v>2548439</c:v>
                      </c:pt>
                      <c:pt idx="16">
                        <c:v>2351975</c:v>
                      </c:pt>
                      <c:pt idx="17">
                        <c:v>1956959</c:v>
                      </c:pt>
                      <c:pt idx="18">
                        <c:v>1938426</c:v>
                      </c:pt>
                      <c:pt idx="19">
                        <c:v>2215471</c:v>
                      </c:pt>
                      <c:pt idx="20">
                        <c:v>2660477</c:v>
                      </c:pt>
                      <c:pt idx="21">
                        <c:v>3292040</c:v>
                      </c:pt>
                      <c:pt idx="22">
                        <c:v>4115380</c:v>
                      </c:pt>
                      <c:pt idx="23">
                        <c:v>4984624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190-487D-B15C-7B7A6F132C4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'06_Calculations'!$H$26</c15:sqref>
                        </c15:formulaRef>
                      </c:ext>
                    </c:extLst>
                    <c:strCache>
                      <c:ptCount val="1"/>
                      <c:pt idx="0">
                        <c:v>Revenue Var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'06_Calculations'!$A$27:$A$50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  <c:pt idx="15">
                        <c:v>46113</c:v>
                      </c:pt>
                      <c:pt idx="16">
                        <c:v>46143</c:v>
                      </c:pt>
                      <c:pt idx="17">
                        <c:v>46174</c:v>
                      </c:pt>
                      <c:pt idx="18">
                        <c:v>46204</c:v>
                      </c:pt>
                      <c:pt idx="19">
                        <c:v>46235</c:v>
                      </c:pt>
                      <c:pt idx="20">
                        <c:v>46266</c:v>
                      </c:pt>
                      <c:pt idx="21">
                        <c:v>46296</c:v>
                      </c:pt>
                      <c:pt idx="22">
                        <c:v>46327</c:v>
                      </c:pt>
                      <c:pt idx="23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'06_Calculations'!$H$27:$H$50</c15:sqref>
                        </c15:formulaRef>
                      </c:ext>
                    </c:extLst>
                    <c:numCache>
                      <c:formatCode>_-[$€-2]\ * #,##0_-;\-[$€-2]\ * #,##0_-;_-[$€-2]\ * "-"??_-;_-@_-</c:formatCode>
                      <c:ptCount val="24"/>
                      <c:pt idx="0">
                        <c:v>-1105027</c:v>
                      </c:pt>
                      <c:pt idx="1">
                        <c:v>-636407</c:v>
                      </c:pt>
                      <c:pt idx="2">
                        <c:v>-422484</c:v>
                      </c:pt>
                      <c:pt idx="3">
                        <c:v>-684307</c:v>
                      </c:pt>
                      <c:pt idx="4">
                        <c:v>-724621</c:v>
                      </c:pt>
                      <c:pt idx="5">
                        <c:v>-566248</c:v>
                      </c:pt>
                      <c:pt idx="6">
                        <c:v>-376321</c:v>
                      </c:pt>
                      <c:pt idx="7">
                        <c:v>-698921</c:v>
                      </c:pt>
                      <c:pt idx="8">
                        <c:v>-479678</c:v>
                      </c:pt>
                      <c:pt idx="9">
                        <c:v>-716094</c:v>
                      </c:pt>
                      <c:pt idx="10">
                        <c:v>-1258895</c:v>
                      </c:pt>
                      <c:pt idx="11">
                        <c:v>-754592</c:v>
                      </c:pt>
                      <c:pt idx="12">
                        <c:v>-359618</c:v>
                      </c:pt>
                      <c:pt idx="13">
                        <c:v>-459806</c:v>
                      </c:pt>
                      <c:pt idx="14">
                        <c:v>-262471</c:v>
                      </c:pt>
                      <c:pt idx="15">
                        <c:v>-135083</c:v>
                      </c:pt>
                      <c:pt idx="16">
                        <c:v>-154668</c:v>
                      </c:pt>
                      <c:pt idx="17">
                        <c:v>-76740</c:v>
                      </c:pt>
                      <c:pt idx="18">
                        <c:v>-99197</c:v>
                      </c:pt>
                      <c:pt idx="19">
                        <c:v>-100985</c:v>
                      </c:pt>
                      <c:pt idx="20">
                        <c:v>-27417</c:v>
                      </c:pt>
                      <c:pt idx="21">
                        <c:v>-184611</c:v>
                      </c:pt>
                      <c:pt idx="22">
                        <c:v>72672</c:v>
                      </c:pt>
                      <c:pt idx="23">
                        <c:v>-319190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190-487D-B15C-7B7A6F132C46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'06_Calculations'!$I$26</c15:sqref>
                        </c15:formulaRef>
                      </c:ext>
                    </c:extLst>
                    <c:strCache>
                      <c:ptCount val="1"/>
                      <c:pt idx="0">
                        <c:v>EBITDA Var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'06_Calculations'!$A$27:$A$50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  <c:pt idx="15">
                        <c:v>46113</c:v>
                      </c:pt>
                      <c:pt idx="16">
                        <c:v>46143</c:v>
                      </c:pt>
                      <c:pt idx="17">
                        <c:v>46174</c:v>
                      </c:pt>
                      <c:pt idx="18">
                        <c:v>46204</c:v>
                      </c:pt>
                      <c:pt idx="19">
                        <c:v>46235</c:v>
                      </c:pt>
                      <c:pt idx="20">
                        <c:v>46266</c:v>
                      </c:pt>
                      <c:pt idx="21">
                        <c:v>46296</c:v>
                      </c:pt>
                      <c:pt idx="22">
                        <c:v>46327</c:v>
                      </c:pt>
                      <c:pt idx="23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'06_Calculations'!$I$27:$I$50</c15:sqref>
                        </c15:formulaRef>
                      </c:ext>
                    </c:extLst>
                    <c:numCache>
                      <c:formatCode>_-[$€-2]\ * #,##0_-;\-[$€-2]\ * #,##0_-;_-[$€-2]\ * "-"??_-;_-@_-</c:formatCode>
                      <c:ptCount val="24"/>
                      <c:pt idx="0">
                        <c:v>-1375232</c:v>
                      </c:pt>
                      <c:pt idx="1">
                        <c:v>-944233</c:v>
                      </c:pt>
                      <c:pt idx="2">
                        <c:v>-778542</c:v>
                      </c:pt>
                      <c:pt idx="3">
                        <c:v>-1237689</c:v>
                      </c:pt>
                      <c:pt idx="4">
                        <c:v>-1188096</c:v>
                      </c:pt>
                      <c:pt idx="5">
                        <c:v>-849954</c:v>
                      </c:pt>
                      <c:pt idx="6">
                        <c:v>-655637</c:v>
                      </c:pt>
                      <c:pt idx="7">
                        <c:v>-988095</c:v>
                      </c:pt>
                      <c:pt idx="8">
                        <c:v>-798982</c:v>
                      </c:pt>
                      <c:pt idx="9">
                        <c:v>-1013388</c:v>
                      </c:pt>
                      <c:pt idx="10">
                        <c:v>-1718802</c:v>
                      </c:pt>
                      <c:pt idx="11">
                        <c:v>-1056157</c:v>
                      </c:pt>
                      <c:pt idx="12">
                        <c:v>-617433</c:v>
                      </c:pt>
                      <c:pt idx="13">
                        <c:v>-864123</c:v>
                      </c:pt>
                      <c:pt idx="14">
                        <c:v>-508507</c:v>
                      </c:pt>
                      <c:pt idx="15">
                        <c:v>-426836</c:v>
                      </c:pt>
                      <c:pt idx="16">
                        <c:v>-437735</c:v>
                      </c:pt>
                      <c:pt idx="17">
                        <c:v>-347908</c:v>
                      </c:pt>
                      <c:pt idx="18">
                        <c:v>-347453</c:v>
                      </c:pt>
                      <c:pt idx="19">
                        <c:v>-359942</c:v>
                      </c:pt>
                      <c:pt idx="20">
                        <c:v>-310703</c:v>
                      </c:pt>
                      <c:pt idx="21">
                        <c:v>-594815</c:v>
                      </c:pt>
                      <c:pt idx="22">
                        <c:v>-211546</c:v>
                      </c:pt>
                      <c:pt idx="23">
                        <c:v>-614495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190-487D-B15C-7B7A6F132C46}"/>
                  </c:ext>
                </c:extLst>
              </c15:ser>
            </c15:filteredLineSeries>
          </c:ext>
        </c:extLst>
      </c:lineChart>
      <c:dateAx>
        <c:axId val="16106070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620671"/>
        <c:crosses val="autoZero"/>
        <c:auto val="1"/>
        <c:lblOffset val="100"/>
        <c:baseTimeUnit val="months"/>
      </c:dateAx>
      <c:valAx>
        <c:axId val="117062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60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EBITDA trend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'06_Calculations'!$E$26</c:f>
              <c:strCache>
                <c:ptCount val="1"/>
                <c:pt idx="0">
                  <c:v>Actual EBITDA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'06_Calculations'!$A$27:$A$50</c:f>
              <c:numCache>
                <c:formatCode>mmm\-yy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'06_Calculations'!$E$27:$E$50</c:f>
              <c:numCache>
                <c:formatCode>_-[$€-2]\ * #,##0_-;\-[$€-2]\ * #,##0_-;_-[$€-2]\ * "-"??_-;_-@_-</c:formatCode>
                <c:ptCount val="24"/>
                <c:pt idx="0">
                  <c:v>3329129</c:v>
                </c:pt>
                <c:pt idx="1">
                  <c:v>2800724</c:v>
                </c:pt>
                <c:pt idx="2">
                  <c:v>2980174</c:v>
                </c:pt>
                <c:pt idx="3">
                  <c:v>1491709</c:v>
                </c:pt>
                <c:pt idx="4">
                  <c:v>1285300</c:v>
                </c:pt>
                <c:pt idx="5">
                  <c:v>1170387</c:v>
                </c:pt>
                <c:pt idx="6">
                  <c:v>1336141</c:v>
                </c:pt>
                <c:pt idx="7">
                  <c:v>1253877</c:v>
                </c:pt>
                <c:pt idx="8">
                  <c:v>1940431</c:v>
                </c:pt>
                <c:pt idx="9">
                  <c:v>2463792</c:v>
                </c:pt>
                <c:pt idx="10">
                  <c:v>2580557</c:v>
                </c:pt>
                <c:pt idx="11">
                  <c:v>4219638</c:v>
                </c:pt>
                <c:pt idx="12">
                  <c:v>4221537</c:v>
                </c:pt>
                <c:pt idx="13">
                  <c:v>3046499</c:v>
                </c:pt>
                <c:pt idx="14">
                  <c:v>3400566</c:v>
                </c:pt>
                <c:pt idx="15">
                  <c:v>2490900</c:v>
                </c:pt>
                <c:pt idx="16">
                  <c:v>2245315</c:v>
                </c:pt>
                <c:pt idx="17">
                  <c:v>1901030</c:v>
                </c:pt>
                <c:pt idx="18">
                  <c:v>1883726</c:v>
                </c:pt>
                <c:pt idx="19">
                  <c:v>2117389</c:v>
                </c:pt>
                <c:pt idx="20">
                  <c:v>2648765</c:v>
                </c:pt>
                <c:pt idx="21">
                  <c:v>3077943</c:v>
                </c:pt>
                <c:pt idx="22">
                  <c:v>4288897</c:v>
                </c:pt>
                <c:pt idx="23">
                  <c:v>4821136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42-460A-9FAC-1672D6D858E9}"/>
            </c:ext>
          </c:extLst>
        </c:ser>
        <c:ser>
          <c:idx val="4"/>
          <c:order val="4"/>
          <c:tx>
            <c:strRef>
              <c:f>'06_Calculations'!$F$26</c:f>
              <c:strCache>
                <c:ptCount val="1"/>
                <c:pt idx="0">
                  <c:v>Budget EBITDA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'06_Calculations'!$A$27:$A$50</c:f>
              <c:numCache>
                <c:formatCode>mmm\-yy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'06_Calculations'!$F$27:$F$50</c:f>
              <c:numCache>
                <c:formatCode>_-[$€-2]\ * #,##0_-;\-[$€-2]\ * #,##0_-;_-[$€-2]\ * "-"??_-;_-@_-</c:formatCode>
                <c:ptCount val="24"/>
                <c:pt idx="0">
                  <c:v>4704361</c:v>
                </c:pt>
                <c:pt idx="1">
                  <c:v>3744957</c:v>
                </c:pt>
                <c:pt idx="2">
                  <c:v>3758716</c:v>
                </c:pt>
                <c:pt idx="3">
                  <c:v>2729398</c:v>
                </c:pt>
                <c:pt idx="4">
                  <c:v>2473396</c:v>
                </c:pt>
                <c:pt idx="5">
                  <c:v>2020341</c:v>
                </c:pt>
                <c:pt idx="6">
                  <c:v>1991778</c:v>
                </c:pt>
                <c:pt idx="7">
                  <c:v>2241972</c:v>
                </c:pt>
                <c:pt idx="8">
                  <c:v>2739413</c:v>
                </c:pt>
                <c:pt idx="9">
                  <c:v>3477180</c:v>
                </c:pt>
                <c:pt idx="10">
                  <c:v>4299359</c:v>
                </c:pt>
                <c:pt idx="11">
                  <c:v>5275795</c:v>
                </c:pt>
                <c:pt idx="12">
                  <c:v>4838970</c:v>
                </c:pt>
                <c:pt idx="13">
                  <c:v>3910622</c:v>
                </c:pt>
                <c:pt idx="14">
                  <c:v>3909073</c:v>
                </c:pt>
                <c:pt idx="15">
                  <c:v>2917736</c:v>
                </c:pt>
                <c:pt idx="16">
                  <c:v>2683050</c:v>
                </c:pt>
                <c:pt idx="17">
                  <c:v>2248938</c:v>
                </c:pt>
                <c:pt idx="18">
                  <c:v>2231179</c:v>
                </c:pt>
                <c:pt idx="19">
                  <c:v>2477331</c:v>
                </c:pt>
                <c:pt idx="20">
                  <c:v>2959468</c:v>
                </c:pt>
                <c:pt idx="21">
                  <c:v>3672758</c:v>
                </c:pt>
                <c:pt idx="22">
                  <c:v>4500443</c:v>
                </c:pt>
                <c:pt idx="23">
                  <c:v>5435631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242-460A-9FAC-1672D6D858E9}"/>
            </c:ext>
          </c:extLst>
        </c:ser>
        <c:ser>
          <c:idx val="5"/>
          <c:order val="5"/>
          <c:tx>
            <c:strRef>
              <c:f>'06_Calculations'!$G$26</c:f>
              <c:strCache>
                <c:ptCount val="1"/>
                <c:pt idx="0">
                  <c:v>Forecast EBITDA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'06_Calculations'!$A$27:$A$50</c:f>
              <c:numCache>
                <c:formatCode>mmm\-yy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'06_Calculations'!$G$27:$G$50</c:f>
              <c:numCache>
                <c:formatCode>_-[$€-2]\ * #,##0_-;\-[$€-2]\ * #,##0_-;_-[$€-2]\ * "-"??_-;_-@_-</c:formatCode>
                <c:ptCount val="24"/>
                <c:pt idx="0">
                  <c:v>3859720</c:v>
                </c:pt>
                <c:pt idx="1">
                  <c:v>3006191</c:v>
                </c:pt>
                <c:pt idx="2">
                  <c:v>3030246</c:v>
                </c:pt>
                <c:pt idx="3">
                  <c:v>2097521</c:v>
                </c:pt>
                <c:pt idx="4">
                  <c:v>1891969</c:v>
                </c:pt>
                <c:pt idx="5">
                  <c:v>1487792</c:v>
                </c:pt>
                <c:pt idx="6">
                  <c:v>1458536</c:v>
                </c:pt>
                <c:pt idx="7">
                  <c:v>1677316</c:v>
                </c:pt>
                <c:pt idx="8">
                  <c:v>2117661</c:v>
                </c:pt>
                <c:pt idx="9">
                  <c:v>2739918</c:v>
                </c:pt>
                <c:pt idx="10">
                  <c:v>3505275</c:v>
                </c:pt>
                <c:pt idx="11">
                  <c:v>4380315</c:v>
                </c:pt>
                <c:pt idx="12">
                  <c:v>4326375</c:v>
                </c:pt>
                <c:pt idx="13">
                  <c:v>3492633</c:v>
                </c:pt>
                <c:pt idx="14">
                  <c:v>3468265</c:v>
                </c:pt>
                <c:pt idx="15">
                  <c:v>2548439</c:v>
                </c:pt>
                <c:pt idx="16">
                  <c:v>2351975</c:v>
                </c:pt>
                <c:pt idx="17">
                  <c:v>1956959</c:v>
                </c:pt>
                <c:pt idx="18">
                  <c:v>1938426</c:v>
                </c:pt>
                <c:pt idx="19">
                  <c:v>2215471</c:v>
                </c:pt>
                <c:pt idx="20">
                  <c:v>2660477</c:v>
                </c:pt>
                <c:pt idx="21">
                  <c:v>3292040</c:v>
                </c:pt>
                <c:pt idx="22">
                  <c:v>4115380</c:v>
                </c:pt>
                <c:pt idx="23">
                  <c:v>4984624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242-460A-9FAC-1672D6D85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7203407"/>
        <c:axId val="109490108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'06_Calculations'!$B$26</c15:sqref>
                        </c15:formulaRef>
                      </c:ext>
                    </c:extLst>
                    <c:strCache>
                      <c:ptCount val="1"/>
                      <c:pt idx="0">
                        <c:v>Actual Revenue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'06_Calculations'!$A$27:$A$50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  <c:pt idx="15">
                        <c:v>46113</c:v>
                      </c:pt>
                      <c:pt idx="16">
                        <c:v>46143</c:v>
                      </c:pt>
                      <c:pt idx="17">
                        <c:v>46174</c:v>
                      </c:pt>
                      <c:pt idx="18">
                        <c:v>46204</c:v>
                      </c:pt>
                      <c:pt idx="19">
                        <c:v>46235</c:v>
                      </c:pt>
                      <c:pt idx="20">
                        <c:v>46266</c:v>
                      </c:pt>
                      <c:pt idx="21">
                        <c:v>46296</c:v>
                      </c:pt>
                      <c:pt idx="22">
                        <c:v>46327</c:v>
                      </c:pt>
                      <c:pt idx="23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'06_Calculations'!$B$27:$B$50</c15:sqref>
                        </c15:formulaRef>
                      </c:ext>
                    </c:extLst>
                    <c:numCache>
                      <c:formatCode>_-[$€-2]\ * #,##0_-;\-[$€-2]\ * #,##0_-;_-[$€-2]\ * "-"??_-;_-@_-</c:formatCode>
                      <c:ptCount val="24"/>
                      <c:pt idx="0">
                        <c:v>6212435</c:v>
                      </c:pt>
                      <c:pt idx="1">
                        <c:v>5646508</c:v>
                      </c:pt>
                      <c:pt idx="2">
                        <c:v>5936102</c:v>
                      </c:pt>
                      <c:pt idx="3">
                        <c:v>4702421</c:v>
                      </c:pt>
                      <c:pt idx="4">
                        <c:v>4293722</c:v>
                      </c:pt>
                      <c:pt idx="5">
                        <c:v>3972882</c:v>
                      </c:pt>
                      <c:pt idx="6">
                        <c:v>4165986</c:v>
                      </c:pt>
                      <c:pt idx="7">
                        <c:v>4127765</c:v>
                      </c:pt>
                      <c:pt idx="8">
                        <c:v>4879266</c:v>
                      </c:pt>
                      <c:pt idx="9">
                        <c:v>5586206</c:v>
                      </c:pt>
                      <c:pt idx="10">
                        <c:v>5794661</c:v>
                      </c:pt>
                      <c:pt idx="11">
                        <c:v>7362190</c:v>
                      </c:pt>
                      <c:pt idx="12">
                        <c:v>7330978</c:v>
                      </c:pt>
                      <c:pt idx="13">
                        <c:v>6206148</c:v>
                      </c:pt>
                      <c:pt idx="14">
                        <c:v>6484996</c:v>
                      </c:pt>
                      <c:pt idx="15">
                        <c:v>5671457</c:v>
                      </c:pt>
                      <c:pt idx="16">
                        <c:v>5311856</c:v>
                      </c:pt>
                      <c:pt idx="17">
                        <c:v>4922463</c:v>
                      </c:pt>
                      <c:pt idx="18">
                        <c:v>4921035</c:v>
                      </c:pt>
                      <c:pt idx="19">
                        <c:v>5199587</c:v>
                      </c:pt>
                      <c:pt idx="20">
                        <c:v>5783056</c:v>
                      </c:pt>
                      <c:pt idx="21">
                        <c:v>6551792</c:v>
                      </c:pt>
                      <c:pt idx="22">
                        <c:v>7557749</c:v>
                      </c:pt>
                      <c:pt idx="23">
                        <c:v>8176669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242-460A-9FAC-1672D6D858E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'06_Calculations'!$C$26</c15:sqref>
                        </c15:formulaRef>
                      </c:ext>
                    </c:extLst>
                    <c:strCache>
                      <c:ptCount val="1"/>
                      <c:pt idx="0">
                        <c:v>Budget Revenue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'06_Calculations'!$A$27:$A$50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  <c:pt idx="15">
                        <c:v>46113</c:v>
                      </c:pt>
                      <c:pt idx="16">
                        <c:v>46143</c:v>
                      </c:pt>
                      <c:pt idx="17">
                        <c:v>46174</c:v>
                      </c:pt>
                      <c:pt idx="18">
                        <c:v>46204</c:v>
                      </c:pt>
                      <c:pt idx="19">
                        <c:v>46235</c:v>
                      </c:pt>
                      <c:pt idx="20">
                        <c:v>46266</c:v>
                      </c:pt>
                      <c:pt idx="21">
                        <c:v>46296</c:v>
                      </c:pt>
                      <c:pt idx="22">
                        <c:v>46327</c:v>
                      </c:pt>
                      <c:pt idx="23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'06_Calculations'!$C$27:$C$50</c15:sqref>
                        </c15:formulaRef>
                      </c:ext>
                    </c:extLst>
                    <c:numCache>
                      <c:formatCode>_-[$€-2]\ * #,##0_-;\-[$€-2]\ * #,##0_-;_-[$€-2]\ * "-"??_-;_-@_-</c:formatCode>
                      <c:ptCount val="24"/>
                      <c:pt idx="0">
                        <c:v>7317462</c:v>
                      </c:pt>
                      <c:pt idx="1">
                        <c:v>6282915</c:v>
                      </c:pt>
                      <c:pt idx="2">
                        <c:v>6358586</c:v>
                      </c:pt>
                      <c:pt idx="3">
                        <c:v>5386728</c:v>
                      </c:pt>
                      <c:pt idx="4">
                        <c:v>5018343</c:v>
                      </c:pt>
                      <c:pt idx="5">
                        <c:v>4539130</c:v>
                      </c:pt>
                      <c:pt idx="6">
                        <c:v>4542307</c:v>
                      </c:pt>
                      <c:pt idx="7">
                        <c:v>4826686</c:v>
                      </c:pt>
                      <c:pt idx="8">
                        <c:v>5358944</c:v>
                      </c:pt>
                      <c:pt idx="9">
                        <c:v>6302300</c:v>
                      </c:pt>
                      <c:pt idx="10">
                        <c:v>7053556</c:v>
                      </c:pt>
                      <c:pt idx="11">
                        <c:v>8116782</c:v>
                      </c:pt>
                      <c:pt idx="12">
                        <c:v>7690596</c:v>
                      </c:pt>
                      <c:pt idx="13">
                        <c:v>6665954</c:v>
                      </c:pt>
                      <c:pt idx="14">
                        <c:v>6747467</c:v>
                      </c:pt>
                      <c:pt idx="15">
                        <c:v>5806540</c:v>
                      </c:pt>
                      <c:pt idx="16">
                        <c:v>5466524</c:v>
                      </c:pt>
                      <c:pt idx="17">
                        <c:v>4999203</c:v>
                      </c:pt>
                      <c:pt idx="18">
                        <c:v>5020232</c:v>
                      </c:pt>
                      <c:pt idx="19">
                        <c:v>5300572</c:v>
                      </c:pt>
                      <c:pt idx="20">
                        <c:v>5810473</c:v>
                      </c:pt>
                      <c:pt idx="21">
                        <c:v>6736403</c:v>
                      </c:pt>
                      <c:pt idx="22">
                        <c:v>7485077</c:v>
                      </c:pt>
                      <c:pt idx="23">
                        <c:v>8495859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242-460A-9FAC-1672D6D858E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'06_Calculations'!$D$26</c15:sqref>
                        </c15:formulaRef>
                      </c:ext>
                    </c:extLst>
                    <c:strCache>
                      <c:ptCount val="1"/>
                      <c:pt idx="0">
                        <c:v>Forecast Revenue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'06_Calculations'!$A$27:$A$50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  <c:pt idx="15">
                        <c:v>46113</c:v>
                      </c:pt>
                      <c:pt idx="16">
                        <c:v>46143</c:v>
                      </c:pt>
                      <c:pt idx="17">
                        <c:v>46174</c:v>
                      </c:pt>
                      <c:pt idx="18">
                        <c:v>46204</c:v>
                      </c:pt>
                      <c:pt idx="19">
                        <c:v>46235</c:v>
                      </c:pt>
                      <c:pt idx="20">
                        <c:v>46266</c:v>
                      </c:pt>
                      <c:pt idx="21">
                        <c:v>46296</c:v>
                      </c:pt>
                      <c:pt idx="22">
                        <c:v>46327</c:v>
                      </c:pt>
                      <c:pt idx="23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'06_Calculations'!$D$27:$D$50</c15:sqref>
                        </c15:formulaRef>
                      </c:ext>
                    </c:extLst>
                    <c:numCache>
                      <c:formatCode>_-[$€-2]\ * #,##0_-;\-[$€-2]\ * #,##0_-;_-[$€-2]\ * "-"??_-;_-@_-</c:formatCode>
                      <c:ptCount val="24"/>
                      <c:pt idx="0">
                        <c:v>6669851</c:v>
                      </c:pt>
                      <c:pt idx="1">
                        <c:v>5736093</c:v>
                      </c:pt>
                      <c:pt idx="2">
                        <c:v>5827983</c:v>
                      </c:pt>
                      <c:pt idx="3">
                        <c:v>4956826</c:v>
                      </c:pt>
                      <c:pt idx="4">
                        <c:v>4632839</c:v>
                      </c:pt>
                      <c:pt idx="5">
                        <c:v>4201265</c:v>
                      </c:pt>
                      <c:pt idx="6">
                        <c:v>4207456</c:v>
                      </c:pt>
                      <c:pt idx="7">
                        <c:v>4464088</c:v>
                      </c:pt>
                      <c:pt idx="8">
                        <c:v>4942570</c:v>
                      </c:pt>
                      <c:pt idx="9">
                        <c:v>5786098</c:v>
                      </c:pt>
                      <c:pt idx="10">
                        <c:v>6476848</c:v>
                      </c:pt>
                      <c:pt idx="11">
                        <c:v>7446401</c:v>
                      </c:pt>
                      <c:pt idx="12">
                        <c:v>7366174</c:v>
                      </c:pt>
                      <c:pt idx="13">
                        <c:v>6429149</c:v>
                      </c:pt>
                      <c:pt idx="14">
                        <c:v>6494290</c:v>
                      </c:pt>
                      <c:pt idx="15">
                        <c:v>5627886</c:v>
                      </c:pt>
                      <c:pt idx="16">
                        <c:v>5319610</c:v>
                      </c:pt>
                      <c:pt idx="17">
                        <c:v>4889100</c:v>
                      </c:pt>
                      <c:pt idx="18">
                        <c:v>4912588</c:v>
                      </c:pt>
                      <c:pt idx="19">
                        <c:v>5226723</c:v>
                      </c:pt>
                      <c:pt idx="20">
                        <c:v>5701837</c:v>
                      </c:pt>
                      <c:pt idx="21">
                        <c:v>6561174</c:v>
                      </c:pt>
                      <c:pt idx="22">
                        <c:v>7300652</c:v>
                      </c:pt>
                      <c:pt idx="23">
                        <c:v>8250976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242-460A-9FAC-1672D6D858E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'06_Calculations'!$H$26</c15:sqref>
                        </c15:formulaRef>
                      </c:ext>
                    </c:extLst>
                    <c:strCache>
                      <c:ptCount val="1"/>
                      <c:pt idx="0">
                        <c:v>Revenue Var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'06_Calculations'!$A$27:$A$50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  <c:pt idx="15">
                        <c:v>46113</c:v>
                      </c:pt>
                      <c:pt idx="16">
                        <c:v>46143</c:v>
                      </c:pt>
                      <c:pt idx="17">
                        <c:v>46174</c:v>
                      </c:pt>
                      <c:pt idx="18">
                        <c:v>46204</c:v>
                      </c:pt>
                      <c:pt idx="19">
                        <c:v>46235</c:v>
                      </c:pt>
                      <c:pt idx="20">
                        <c:v>46266</c:v>
                      </c:pt>
                      <c:pt idx="21">
                        <c:v>46296</c:v>
                      </c:pt>
                      <c:pt idx="22">
                        <c:v>46327</c:v>
                      </c:pt>
                      <c:pt idx="23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'06_Calculations'!$H$27:$H$50</c15:sqref>
                        </c15:formulaRef>
                      </c:ext>
                    </c:extLst>
                    <c:numCache>
                      <c:formatCode>_-[$€-2]\ * #,##0_-;\-[$€-2]\ * #,##0_-;_-[$€-2]\ * "-"??_-;_-@_-</c:formatCode>
                      <c:ptCount val="24"/>
                      <c:pt idx="0">
                        <c:v>-1105027</c:v>
                      </c:pt>
                      <c:pt idx="1">
                        <c:v>-636407</c:v>
                      </c:pt>
                      <c:pt idx="2">
                        <c:v>-422484</c:v>
                      </c:pt>
                      <c:pt idx="3">
                        <c:v>-684307</c:v>
                      </c:pt>
                      <c:pt idx="4">
                        <c:v>-724621</c:v>
                      </c:pt>
                      <c:pt idx="5">
                        <c:v>-566248</c:v>
                      </c:pt>
                      <c:pt idx="6">
                        <c:v>-376321</c:v>
                      </c:pt>
                      <c:pt idx="7">
                        <c:v>-698921</c:v>
                      </c:pt>
                      <c:pt idx="8">
                        <c:v>-479678</c:v>
                      </c:pt>
                      <c:pt idx="9">
                        <c:v>-716094</c:v>
                      </c:pt>
                      <c:pt idx="10">
                        <c:v>-1258895</c:v>
                      </c:pt>
                      <c:pt idx="11">
                        <c:v>-754592</c:v>
                      </c:pt>
                      <c:pt idx="12">
                        <c:v>-359618</c:v>
                      </c:pt>
                      <c:pt idx="13">
                        <c:v>-459806</c:v>
                      </c:pt>
                      <c:pt idx="14">
                        <c:v>-262471</c:v>
                      </c:pt>
                      <c:pt idx="15">
                        <c:v>-135083</c:v>
                      </c:pt>
                      <c:pt idx="16">
                        <c:v>-154668</c:v>
                      </c:pt>
                      <c:pt idx="17">
                        <c:v>-76740</c:v>
                      </c:pt>
                      <c:pt idx="18">
                        <c:v>-99197</c:v>
                      </c:pt>
                      <c:pt idx="19">
                        <c:v>-100985</c:v>
                      </c:pt>
                      <c:pt idx="20">
                        <c:v>-27417</c:v>
                      </c:pt>
                      <c:pt idx="21">
                        <c:v>-184611</c:v>
                      </c:pt>
                      <c:pt idx="22">
                        <c:v>72672</c:v>
                      </c:pt>
                      <c:pt idx="23">
                        <c:v>-319190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242-460A-9FAC-1672D6D858E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'06_Calculations'!$I$26</c15:sqref>
                        </c15:formulaRef>
                      </c:ext>
                    </c:extLst>
                    <c:strCache>
                      <c:ptCount val="1"/>
                      <c:pt idx="0">
                        <c:v>EBITDA Var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'06_Calculations'!$A$27:$A$50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  <c:pt idx="15">
                        <c:v>46113</c:v>
                      </c:pt>
                      <c:pt idx="16">
                        <c:v>46143</c:v>
                      </c:pt>
                      <c:pt idx="17">
                        <c:v>46174</c:v>
                      </c:pt>
                      <c:pt idx="18">
                        <c:v>46204</c:v>
                      </c:pt>
                      <c:pt idx="19">
                        <c:v>46235</c:v>
                      </c:pt>
                      <c:pt idx="20">
                        <c:v>46266</c:v>
                      </c:pt>
                      <c:pt idx="21">
                        <c:v>46296</c:v>
                      </c:pt>
                      <c:pt idx="22">
                        <c:v>46327</c:v>
                      </c:pt>
                      <c:pt idx="23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'06_Calculations'!$I$27:$I$50</c15:sqref>
                        </c15:formulaRef>
                      </c:ext>
                    </c:extLst>
                    <c:numCache>
                      <c:formatCode>_-[$€-2]\ * #,##0_-;\-[$€-2]\ * #,##0_-;_-[$€-2]\ * "-"??_-;_-@_-</c:formatCode>
                      <c:ptCount val="24"/>
                      <c:pt idx="0">
                        <c:v>-1375232</c:v>
                      </c:pt>
                      <c:pt idx="1">
                        <c:v>-944233</c:v>
                      </c:pt>
                      <c:pt idx="2">
                        <c:v>-778542</c:v>
                      </c:pt>
                      <c:pt idx="3">
                        <c:v>-1237689</c:v>
                      </c:pt>
                      <c:pt idx="4">
                        <c:v>-1188096</c:v>
                      </c:pt>
                      <c:pt idx="5">
                        <c:v>-849954</c:v>
                      </c:pt>
                      <c:pt idx="6">
                        <c:v>-655637</c:v>
                      </c:pt>
                      <c:pt idx="7">
                        <c:v>-988095</c:v>
                      </c:pt>
                      <c:pt idx="8">
                        <c:v>-798982</c:v>
                      </c:pt>
                      <c:pt idx="9">
                        <c:v>-1013388</c:v>
                      </c:pt>
                      <c:pt idx="10">
                        <c:v>-1718802</c:v>
                      </c:pt>
                      <c:pt idx="11">
                        <c:v>-1056157</c:v>
                      </c:pt>
                      <c:pt idx="12">
                        <c:v>-617433</c:v>
                      </c:pt>
                      <c:pt idx="13">
                        <c:v>-864123</c:v>
                      </c:pt>
                      <c:pt idx="14">
                        <c:v>-508507</c:v>
                      </c:pt>
                      <c:pt idx="15">
                        <c:v>-426836</c:v>
                      </c:pt>
                      <c:pt idx="16">
                        <c:v>-437735</c:v>
                      </c:pt>
                      <c:pt idx="17">
                        <c:v>-347908</c:v>
                      </c:pt>
                      <c:pt idx="18">
                        <c:v>-347453</c:v>
                      </c:pt>
                      <c:pt idx="19">
                        <c:v>-359942</c:v>
                      </c:pt>
                      <c:pt idx="20">
                        <c:v>-310703</c:v>
                      </c:pt>
                      <c:pt idx="21">
                        <c:v>-594815</c:v>
                      </c:pt>
                      <c:pt idx="22">
                        <c:v>-211546</c:v>
                      </c:pt>
                      <c:pt idx="23">
                        <c:v>-614495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242-460A-9FAC-1672D6D858E9}"/>
                  </c:ext>
                </c:extLst>
              </c15:ser>
            </c15:filteredLineSeries>
          </c:ext>
        </c:extLst>
      </c:lineChart>
      <c:dateAx>
        <c:axId val="149720340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901087"/>
        <c:crosses val="autoZero"/>
        <c:auto val="1"/>
        <c:lblOffset val="100"/>
        <c:baseTimeUnit val="months"/>
      </c:dateAx>
      <c:valAx>
        <c:axId val="109490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203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Scenario vs 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'08_Scenario_Model'!$M$7</c:f>
              <c:strCache>
                <c:ptCount val="1"/>
                <c:pt idx="0">
                  <c:v> 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'08_Scenario_Model'!$N$6:$O$6</c:f>
              <c:strCache>
                <c:ptCount val="2"/>
                <c:pt idx="0">
                  <c:v>Revenue</c:v>
                </c:pt>
                <c:pt idx="1">
                  <c:v>EBITDA</c:v>
                </c:pt>
              </c:strCache>
            </c:strRef>
          </c:cat>
          <c:val>
            <c:numRef>
              <c:f>'08_Scenario_Model'!$N$7:$O$7</c:f>
              <c:numCache>
                <c:formatCode>General</c:formatCode>
                <c:ptCount val="2"/>
                <c:pt idx="0">
                  <c:v>147328639</c:v>
                </c:pt>
                <c:pt idx="1">
                  <c:v>81241865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99-48CA-A549-09C0E68BAA1A}"/>
            </c:ext>
          </c:extLst>
        </c:ser>
        <c:ser>
          <c:idx val="1"/>
          <c:order val="1"/>
          <c:tx>
            <c:strRef>
              <c:f>'08_Scenario_Model'!$M$8</c:f>
              <c:strCache>
                <c:ptCount val="1"/>
                <c:pt idx="0">
                  <c:v> Scenario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'08_Scenario_Model'!$N$6:$O$6</c:f>
              <c:strCache>
                <c:ptCount val="2"/>
                <c:pt idx="0">
                  <c:v>Revenue</c:v>
                </c:pt>
                <c:pt idx="1">
                  <c:v>EBITDA</c:v>
                </c:pt>
              </c:strCache>
            </c:strRef>
          </c:cat>
          <c:val>
            <c:numRef>
              <c:f>'08_Scenario_Model'!$N$8:$O$8</c:f>
              <c:numCache>
                <c:formatCode>General</c:formatCode>
                <c:ptCount val="2"/>
                <c:pt idx="0">
                  <c:v>147263264.14400002</c:v>
                </c:pt>
                <c:pt idx="1">
                  <c:v>78009663.184000015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99-48CA-A549-09C0E68BA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85312"/>
        <c:axId val="1574057216"/>
      </c:barChart>
      <c:catAx>
        <c:axId val="1418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057216"/>
        <c:crosses val="autoZero"/>
        <c:auto val="1"/>
        <c:lblAlgn val="ctr"/>
        <c:lblOffset val="100"/>
        <c:noMultiLvlLbl val="0"/>
      </c:catAx>
      <c:valAx>
        <c:axId val="157405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Revenue trend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'06_Calculations'!$B$26</c:f>
              <c:strCache>
                <c:ptCount val="1"/>
                <c:pt idx="0">
                  <c:v>Actual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'06_Calculations'!$A$27:$A$50</c:f>
              <c:numCache>
                <c:formatCode>mmm\-yy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'06_Calculations'!$B$27:$B$50</c:f>
              <c:numCache>
                <c:formatCode>_-[$€-2]\ * #,##0_-;\-[$€-2]\ * #,##0_-;_-[$€-2]\ * "-"??_-;_-@_-</c:formatCode>
                <c:ptCount val="24"/>
                <c:pt idx="0">
                  <c:v>6212435</c:v>
                </c:pt>
                <c:pt idx="1">
                  <c:v>5646508</c:v>
                </c:pt>
                <c:pt idx="2">
                  <c:v>5936102</c:v>
                </c:pt>
                <c:pt idx="3">
                  <c:v>4702421</c:v>
                </c:pt>
                <c:pt idx="4">
                  <c:v>4293722</c:v>
                </c:pt>
                <c:pt idx="5">
                  <c:v>3972882</c:v>
                </c:pt>
                <c:pt idx="6">
                  <c:v>4165986</c:v>
                </c:pt>
                <c:pt idx="7">
                  <c:v>4127765</c:v>
                </c:pt>
                <c:pt idx="8">
                  <c:v>4879266</c:v>
                </c:pt>
                <c:pt idx="9">
                  <c:v>5586206</c:v>
                </c:pt>
                <c:pt idx="10">
                  <c:v>5794661</c:v>
                </c:pt>
                <c:pt idx="11">
                  <c:v>7362190</c:v>
                </c:pt>
                <c:pt idx="12">
                  <c:v>7330978</c:v>
                </c:pt>
                <c:pt idx="13">
                  <c:v>6206148</c:v>
                </c:pt>
                <c:pt idx="14">
                  <c:v>6484996</c:v>
                </c:pt>
                <c:pt idx="15">
                  <c:v>5671457</c:v>
                </c:pt>
                <c:pt idx="16">
                  <c:v>5311856</c:v>
                </c:pt>
                <c:pt idx="17">
                  <c:v>4922463</c:v>
                </c:pt>
                <c:pt idx="18">
                  <c:v>4921035</c:v>
                </c:pt>
                <c:pt idx="19">
                  <c:v>5199587</c:v>
                </c:pt>
                <c:pt idx="20">
                  <c:v>5783056</c:v>
                </c:pt>
                <c:pt idx="21">
                  <c:v>6551792</c:v>
                </c:pt>
                <c:pt idx="22">
                  <c:v>7557749</c:v>
                </c:pt>
                <c:pt idx="23">
                  <c:v>8176669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FD-4109-9277-8F5A51B84C91}"/>
            </c:ext>
          </c:extLst>
        </c:ser>
        <c:ser>
          <c:idx val="1"/>
          <c:order val="1"/>
          <c:tx>
            <c:strRef>
              <c:f>'06_Calculations'!$C$26</c:f>
              <c:strCache>
                <c:ptCount val="1"/>
                <c:pt idx="0">
                  <c:v>Budget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'06_Calculations'!$A$27:$A$50</c:f>
              <c:numCache>
                <c:formatCode>mmm\-yy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'06_Calculations'!$C$27:$C$50</c:f>
              <c:numCache>
                <c:formatCode>_-[$€-2]\ * #,##0_-;\-[$€-2]\ * #,##0_-;_-[$€-2]\ * "-"??_-;_-@_-</c:formatCode>
                <c:ptCount val="24"/>
                <c:pt idx="0">
                  <c:v>7317462</c:v>
                </c:pt>
                <c:pt idx="1">
                  <c:v>6282915</c:v>
                </c:pt>
                <c:pt idx="2">
                  <c:v>6358586</c:v>
                </c:pt>
                <c:pt idx="3">
                  <c:v>5386728</c:v>
                </c:pt>
                <c:pt idx="4">
                  <c:v>5018343</c:v>
                </c:pt>
                <c:pt idx="5">
                  <c:v>4539130</c:v>
                </c:pt>
                <c:pt idx="6">
                  <c:v>4542307</c:v>
                </c:pt>
                <c:pt idx="7">
                  <c:v>4826686</c:v>
                </c:pt>
                <c:pt idx="8">
                  <c:v>5358944</c:v>
                </c:pt>
                <c:pt idx="9">
                  <c:v>6302300</c:v>
                </c:pt>
                <c:pt idx="10">
                  <c:v>7053556</c:v>
                </c:pt>
                <c:pt idx="11">
                  <c:v>8116782</c:v>
                </c:pt>
                <c:pt idx="12">
                  <c:v>7690596</c:v>
                </c:pt>
                <c:pt idx="13">
                  <c:v>6665954</c:v>
                </c:pt>
                <c:pt idx="14">
                  <c:v>6747467</c:v>
                </c:pt>
                <c:pt idx="15">
                  <c:v>5806540</c:v>
                </c:pt>
                <c:pt idx="16">
                  <c:v>5466524</c:v>
                </c:pt>
                <c:pt idx="17">
                  <c:v>4999203</c:v>
                </c:pt>
                <c:pt idx="18">
                  <c:v>5020232</c:v>
                </c:pt>
                <c:pt idx="19">
                  <c:v>5300572</c:v>
                </c:pt>
                <c:pt idx="20">
                  <c:v>5810473</c:v>
                </c:pt>
                <c:pt idx="21">
                  <c:v>6736403</c:v>
                </c:pt>
                <c:pt idx="22">
                  <c:v>7485077</c:v>
                </c:pt>
                <c:pt idx="23">
                  <c:v>8495859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FD-4109-9277-8F5A51B84C91}"/>
            </c:ext>
          </c:extLst>
        </c:ser>
        <c:ser>
          <c:idx val="2"/>
          <c:order val="2"/>
          <c:tx>
            <c:strRef>
              <c:f>'06_Calculations'!$D$26</c:f>
              <c:strCache>
                <c:ptCount val="1"/>
                <c:pt idx="0">
                  <c:v>Forecast Revenue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'06_Calculations'!$A$27:$A$50</c:f>
              <c:numCache>
                <c:formatCode>mmm\-yy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'06_Calculations'!$D$27:$D$50</c:f>
              <c:numCache>
                <c:formatCode>_-[$€-2]\ * #,##0_-;\-[$€-2]\ * #,##0_-;_-[$€-2]\ * "-"??_-;_-@_-</c:formatCode>
                <c:ptCount val="24"/>
                <c:pt idx="0">
                  <c:v>6669851</c:v>
                </c:pt>
                <c:pt idx="1">
                  <c:v>5736093</c:v>
                </c:pt>
                <c:pt idx="2">
                  <c:v>5827983</c:v>
                </c:pt>
                <c:pt idx="3">
                  <c:v>4956826</c:v>
                </c:pt>
                <c:pt idx="4">
                  <c:v>4632839</c:v>
                </c:pt>
                <c:pt idx="5">
                  <c:v>4201265</c:v>
                </c:pt>
                <c:pt idx="6">
                  <c:v>4207456</c:v>
                </c:pt>
                <c:pt idx="7">
                  <c:v>4464088</c:v>
                </c:pt>
                <c:pt idx="8">
                  <c:v>4942570</c:v>
                </c:pt>
                <c:pt idx="9">
                  <c:v>5786098</c:v>
                </c:pt>
                <c:pt idx="10">
                  <c:v>6476848</c:v>
                </c:pt>
                <c:pt idx="11">
                  <c:v>7446401</c:v>
                </c:pt>
                <c:pt idx="12">
                  <c:v>7366174</c:v>
                </c:pt>
                <c:pt idx="13">
                  <c:v>6429149</c:v>
                </c:pt>
                <c:pt idx="14">
                  <c:v>6494290</c:v>
                </c:pt>
                <c:pt idx="15">
                  <c:v>5627886</c:v>
                </c:pt>
                <c:pt idx="16">
                  <c:v>5319610</c:v>
                </c:pt>
                <c:pt idx="17">
                  <c:v>4889100</c:v>
                </c:pt>
                <c:pt idx="18">
                  <c:v>4912588</c:v>
                </c:pt>
                <c:pt idx="19">
                  <c:v>5226723</c:v>
                </c:pt>
                <c:pt idx="20">
                  <c:v>5701837</c:v>
                </c:pt>
                <c:pt idx="21">
                  <c:v>6561174</c:v>
                </c:pt>
                <c:pt idx="22">
                  <c:v>7300652</c:v>
                </c:pt>
                <c:pt idx="23">
                  <c:v>8250976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FD-4109-9277-8F5A51B84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0607056"/>
        <c:axId val="1170620671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'06_Calculations'!$E$26</c15:sqref>
                        </c15:formulaRef>
                      </c:ext>
                    </c:extLst>
                    <c:strCache>
                      <c:ptCount val="1"/>
                      <c:pt idx="0">
                        <c:v>Actual EBITDA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'06_Calculations'!$A$27:$A$50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  <c:pt idx="15">
                        <c:v>46113</c:v>
                      </c:pt>
                      <c:pt idx="16">
                        <c:v>46143</c:v>
                      </c:pt>
                      <c:pt idx="17">
                        <c:v>46174</c:v>
                      </c:pt>
                      <c:pt idx="18">
                        <c:v>46204</c:v>
                      </c:pt>
                      <c:pt idx="19">
                        <c:v>46235</c:v>
                      </c:pt>
                      <c:pt idx="20">
                        <c:v>46266</c:v>
                      </c:pt>
                      <c:pt idx="21">
                        <c:v>46296</c:v>
                      </c:pt>
                      <c:pt idx="22">
                        <c:v>46327</c:v>
                      </c:pt>
                      <c:pt idx="23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'06_Calculations'!$E$27:$E$50</c15:sqref>
                        </c15:formulaRef>
                      </c:ext>
                    </c:extLst>
                    <c:numCache>
                      <c:formatCode>_-[$€-2]\ * #,##0_-;\-[$€-2]\ * #,##0_-;_-[$€-2]\ * "-"??_-;_-@_-</c:formatCode>
                      <c:ptCount val="24"/>
                      <c:pt idx="0">
                        <c:v>3329129</c:v>
                      </c:pt>
                      <c:pt idx="1">
                        <c:v>2800724</c:v>
                      </c:pt>
                      <c:pt idx="2">
                        <c:v>2980174</c:v>
                      </c:pt>
                      <c:pt idx="3">
                        <c:v>1491709</c:v>
                      </c:pt>
                      <c:pt idx="4">
                        <c:v>1285300</c:v>
                      </c:pt>
                      <c:pt idx="5">
                        <c:v>1170387</c:v>
                      </c:pt>
                      <c:pt idx="6">
                        <c:v>1336141</c:v>
                      </c:pt>
                      <c:pt idx="7">
                        <c:v>1253877</c:v>
                      </c:pt>
                      <c:pt idx="8">
                        <c:v>1940431</c:v>
                      </c:pt>
                      <c:pt idx="9">
                        <c:v>2463792</c:v>
                      </c:pt>
                      <c:pt idx="10">
                        <c:v>2580557</c:v>
                      </c:pt>
                      <c:pt idx="11">
                        <c:v>4219638</c:v>
                      </c:pt>
                      <c:pt idx="12">
                        <c:v>4221537</c:v>
                      </c:pt>
                      <c:pt idx="13">
                        <c:v>3046499</c:v>
                      </c:pt>
                      <c:pt idx="14">
                        <c:v>3400566</c:v>
                      </c:pt>
                      <c:pt idx="15">
                        <c:v>2490900</c:v>
                      </c:pt>
                      <c:pt idx="16">
                        <c:v>2245315</c:v>
                      </c:pt>
                      <c:pt idx="17">
                        <c:v>1901030</c:v>
                      </c:pt>
                      <c:pt idx="18">
                        <c:v>1883726</c:v>
                      </c:pt>
                      <c:pt idx="19">
                        <c:v>2117389</c:v>
                      </c:pt>
                      <c:pt idx="20">
                        <c:v>2648765</c:v>
                      </c:pt>
                      <c:pt idx="21">
                        <c:v>3077943</c:v>
                      </c:pt>
                      <c:pt idx="22">
                        <c:v>4288897</c:v>
                      </c:pt>
                      <c:pt idx="23">
                        <c:v>4821136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68FD-4109-9277-8F5A51B84C9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'06_Calculations'!$F$26</c15:sqref>
                        </c15:formulaRef>
                      </c:ext>
                    </c:extLst>
                    <c:strCache>
                      <c:ptCount val="1"/>
                      <c:pt idx="0">
                        <c:v>Budget EBITDA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'06_Calculations'!$A$27:$A$50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  <c:pt idx="15">
                        <c:v>46113</c:v>
                      </c:pt>
                      <c:pt idx="16">
                        <c:v>46143</c:v>
                      </c:pt>
                      <c:pt idx="17">
                        <c:v>46174</c:v>
                      </c:pt>
                      <c:pt idx="18">
                        <c:v>46204</c:v>
                      </c:pt>
                      <c:pt idx="19">
                        <c:v>46235</c:v>
                      </c:pt>
                      <c:pt idx="20">
                        <c:v>46266</c:v>
                      </c:pt>
                      <c:pt idx="21">
                        <c:v>46296</c:v>
                      </c:pt>
                      <c:pt idx="22">
                        <c:v>46327</c:v>
                      </c:pt>
                      <c:pt idx="23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'06_Calculations'!$F$27:$F$50</c15:sqref>
                        </c15:formulaRef>
                      </c:ext>
                    </c:extLst>
                    <c:numCache>
                      <c:formatCode>_-[$€-2]\ * #,##0_-;\-[$€-2]\ * #,##0_-;_-[$€-2]\ * "-"??_-;_-@_-</c:formatCode>
                      <c:ptCount val="24"/>
                      <c:pt idx="0">
                        <c:v>4704361</c:v>
                      </c:pt>
                      <c:pt idx="1">
                        <c:v>3744957</c:v>
                      </c:pt>
                      <c:pt idx="2">
                        <c:v>3758716</c:v>
                      </c:pt>
                      <c:pt idx="3">
                        <c:v>2729398</c:v>
                      </c:pt>
                      <c:pt idx="4">
                        <c:v>2473396</c:v>
                      </c:pt>
                      <c:pt idx="5">
                        <c:v>2020341</c:v>
                      </c:pt>
                      <c:pt idx="6">
                        <c:v>1991778</c:v>
                      </c:pt>
                      <c:pt idx="7">
                        <c:v>2241972</c:v>
                      </c:pt>
                      <c:pt idx="8">
                        <c:v>2739413</c:v>
                      </c:pt>
                      <c:pt idx="9">
                        <c:v>3477180</c:v>
                      </c:pt>
                      <c:pt idx="10">
                        <c:v>4299359</c:v>
                      </c:pt>
                      <c:pt idx="11">
                        <c:v>5275795</c:v>
                      </c:pt>
                      <c:pt idx="12">
                        <c:v>4838970</c:v>
                      </c:pt>
                      <c:pt idx="13">
                        <c:v>3910622</c:v>
                      </c:pt>
                      <c:pt idx="14">
                        <c:v>3909073</c:v>
                      </c:pt>
                      <c:pt idx="15">
                        <c:v>2917736</c:v>
                      </c:pt>
                      <c:pt idx="16">
                        <c:v>2683050</c:v>
                      </c:pt>
                      <c:pt idx="17">
                        <c:v>2248938</c:v>
                      </c:pt>
                      <c:pt idx="18">
                        <c:v>2231179</c:v>
                      </c:pt>
                      <c:pt idx="19">
                        <c:v>2477331</c:v>
                      </c:pt>
                      <c:pt idx="20">
                        <c:v>2959468</c:v>
                      </c:pt>
                      <c:pt idx="21">
                        <c:v>3672758</c:v>
                      </c:pt>
                      <c:pt idx="22">
                        <c:v>4500443</c:v>
                      </c:pt>
                      <c:pt idx="23">
                        <c:v>5435631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8FD-4109-9277-8F5A51B84C9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'06_Calculations'!$G$26</c15:sqref>
                        </c15:formulaRef>
                      </c:ext>
                    </c:extLst>
                    <c:strCache>
                      <c:ptCount val="1"/>
                      <c:pt idx="0">
                        <c:v>Forecast EBITDA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'06_Calculations'!$A$27:$A$50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  <c:pt idx="15">
                        <c:v>46113</c:v>
                      </c:pt>
                      <c:pt idx="16">
                        <c:v>46143</c:v>
                      </c:pt>
                      <c:pt idx="17">
                        <c:v>46174</c:v>
                      </c:pt>
                      <c:pt idx="18">
                        <c:v>46204</c:v>
                      </c:pt>
                      <c:pt idx="19">
                        <c:v>46235</c:v>
                      </c:pt>
                      <c:pt idx="20">
                        <c:v>46266</c:v>
                      </c:pt>
                      <c:pt idx="21">
                        <c:v>46296</c:v>
                      </c:pt>
                      <c:pt idx="22">
                        <c:v>46327</c:v>
                      </c:pt>
                      <c:pt idx="23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'06_Calculations'!$G$27:$G$50</c15:sqref>
                        </c15:formulaRef>
                      </c:ext>
                    </c:extLst>
                    <c:numCache>
                      <c:formatCode>_-[$€-2]\ * #,##0_-;\-[$€-2]\ * #,##0_-;_-[$€-2]\ * "-"??_-;_-@_-</c:formatCode>
                      <c:ptCount val="24"/>
                      <c:pt idx="0">
                        <c:v>3859720</c:v>
                      </c:pt>
                      <c:pt idx="1">
                        <c:v>3006191</c:v>
                      </c:pt>
                      <c:pt idx="2">
                        <c:v>3030246</c:v>
                      </c:pt>
                      <c:pt idx="3">
                        <c:v>2097521</c:v>
                      </c:pt>
                      <c:pt idx="4">
                        <c:v>1891969</c:v>
                      </c:pt>
                      <c:pt idx="5">
                        <c:v>1487792</c:v>
                      </c:pt>
                      <c:pt idx="6">
                        <c:v>1458536</c:v>
                      </c:pt>
                      <c:pt idx="7">
                        <c:v>1677316</c:v>
                      </c:pt>
                      <c:pt idx="8">
                        <c:v>2117661</c:v>
                      </c:pt>
                      <c:pt idx="9">
                        <c:v>2739918</c:v>
                      </c:pt>
                      <c:pt idx="10">
                        <c:v>3505275</c:v>
                      </c:pt>
                      <c:pt idx="11">
                        <c:v>4380315</c:v>
                      </c:pt>
                      <c:pt idx="12">
                        <c:v>4326375</c:v>
                      </c:pt>
                      <c:pt idx="13">
                        <c:v>3492633</c:v>
                      </c:pt>
                      <c:pt idx="14">
                        <c:v>3468265</c:v>
                      </c:pt>
                      <c:pt idx="15">
                        <c:v>2548439</c:v>
                      </c:pt>
                      <c:pt idx="16">
                        <c:v>2351975</c:v>
                      </c:pt>
                      <c:pt idx="17">
                        <c:v>1956959</c:v>
                      </c:pt>
                      <c:pt idx="18">
                        <c:v>1938426</c:v>
                      </c:pt>
                      <c:pt idx="19">
                        <c:v>2215471</c:v>
                      </c:pt>
                      <c:pt idx="20">
                        <c:v>2660477</c:v>
                      </c:pt>
                      <c:pt idx="21">
                        <c:v>3292040</c:v>
                      </c:pt>
                      <c:pt idx="22">
                        <c:v>4115380</c:v>
                      </c:pt>
                      <c:pt idx="23">
                        <c:v>4984624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8FD-4109-9277-8F5A51B84C9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'06_Calculations'!$H$26</c15:sqref>
                        </c15:formulaRef>
                      </c:ext>
                    </c:extLst>
                    <c:strCache>
                      <c:ptCount val="1"/>
                      <c:pt idx="0">
                        <c:v>Revenue Var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'06_Calculations'!$A$27:$A$50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  <c:pt idx="15">
                        <c:v>46113</c:v>
                      </c:pt>
                      <c:pt idx="16">
                        <c:v>46143</c:v>
                      </c:pt>
                      <c:pt idx="17">
                        <c:v>46174</c:v>
                      </c:pt>
                      <c:pt idx="18">
                        <c:v>46204</c:v>
                      </c:pt>
                      <c:pt idx="19">
                        <c:v>46235</c:v>
                      </c:pt>
                      <c:pt idx="20">
                        <c:v>46266</c:v>
                      </c:pt>
                      <c:pt idx="21">
                        <c:v>46296</c:v>
                      </c:pt>
                      <c:pt idx="22">
                        <c:v>46327</c:v>
                      </c:pt>
                      <c:pt idx="23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'06_Calculations'!$H$27:$H$50</c15:sqref>
                        </c15:formulaRef>
                      </c:ext>
                    </c:extLst>
                    <c:numCache>
                      <c:formatCode>_-[$€-2]\ * #,##0_-;\-[$€-2]\ * #,##0_-;_-[$€-2]\ * "-"??_-;_-@_-</c:formatCode>
                      <c:ptCount val="24"/>
                      <c:pt idx="0">
                        <c:v>-1105027</c:v>
                      </c:pt>
                      <c:pt idx="1">
                        <c:v>-636407</c:v>
                      </c:pt>
                      <c:pt idx="2">
                        <c:v>-422484</c:v>
                      </c:pt>
                      <c:pt idx="3">
                        <c:v>-684307</c:v>
                      </c:pt>
                      <c:pt idx="4">
                        <c:v>-724621</c:v>
                      </c:pt>
                      <c:pt idx="5">
                        <c:v>-566248</c:v>
                      </c:pt>
                      <c:pt idx="6">
                        <c:v>-376321</c:v>
                      </c:pt>
                      <c:pt idx="7">
                        <c:v>-698921</c:v>
                      </c:pt>
                      <c:pt idx="8">
                        <c:v>-479678</c:v>
                      </c:pt>
                      <c:pt idx="9">
                        <c:v>-716094</c:v>
                      </c:pt>
                      <c:pt idx="10">
                        <c:v>-1258895</c:v>
                      </c:pt>
                      <c:pt idx="11">
                        <c:v>-754592</c:v>
                      </c:pt>
                      <c:pt idx="12">
                        <c:v>-359618</c:v>
                      </c:pt>
                      <c:pt idx="13">
                        <c:v>-459806</c:v>
                      </c:pt>
                      <c:pt idx="14">
                        <c:v>-262471</c:v>
                      </c:pt>
                      <c:pt idx="15">
                        <c:v>-135083</c:v>
                      </c:pt>
                      <c:pt idx="16">
                        <c:v>-154668</c:v>
                      </c:pt>
                      <c:pt idx="17">
                        <c:v>-76740</c:v>
                      </c:pt>
                      <c:pt idx="18">
                        <c:v>-99197</c:v>
                      </c:pt>
                      <c:pt idx="19">
                        <c:v>-100985</c:v>
                      </c:pt>
                      <c:pt idx="20">
                        <c:v>-27417</c:v>
                      </c:pt>
                      <c:pt idx="21">
                        <c:v>-184611</c:v>
                      </c:pt>
                      <c:pt idx="22">
                        <c:v>72672</c:v>
                      </c:pt>
                      <c:pt idx="23">
                        <c:v>-319190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8FD-4109-9277-8F5A51B84C91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'06_Calculations'!$I$26</c15:sqref>
                        </c15:formulaRef>
                      </c:ext>
                    </c:extLst>
                    <c:strCache>
                      <c:ptCount val="1"/>
                      <c:pt idx="0">
                        <c:v>EBITDA Var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'06_Calculations'!$A$27:$A$50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  <c:pt idx="15">
                        <c:v>46113</c:v>
                      </c:pt>
                      <c:pt idx="16">
                        <c:v>46143</c:v>
                      </c:pt>
                      <c:pt idx="17">
                        <c:v>46174</c:v>
                      </c:pt>
                      <c:pt idx="18">
                        <c:v>46204</c:v>
                      </c:pt>
                      <c:pt idx="19">
                        <c:v>46235</c:v>
                      </c:pt>
                      <c:pt idx="20">
                        <c:v>46266</c:v>
                      </c:pt>
                      <c:pt idx="21">
                        <c:v>46296</c:v>
                      </c:pt>
                      <c:pt idx="22">
                        <c:v>46327</c:v>
                      </c:pt>
                      <c:pt idx="23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'06_Calculations'!$I$27:$I$50</c15:sqref>
                        </c15:formulaRef>
                      </c:ext>
                    </c:extLst>
                    <c:numCache>
                      <c:formatCode>_-[$€-2]\ * #,##0_-;\-[$€-2]\ * #,##0_-;_-[$€-2]\ * "-"??_-;_-@_-</c:formatCode>
                      <c:ptCount val="24"/>
                      <c:pt idx="0">
                        <c:v>-1375232</c:v>
                      </c:pt>
                      <c:pt idx="1">
                        <c:v>-944233</c:v>
                      </c:pt>
                      <c:pt idx="2">
                        <c:v>-778542</c:v>
                      </c:pt>
                      <c:pt idx="3">
                        <c:v>-1237689</c:v>
                      </c:pt>
                      <c:pt idx="4">
                        <c:v>-1188096</c:v>
                      </c:pt>
                      <c:pt idx="5">
                        <c:v>-849954</c:v>
                      </c:pt>
                      <c:pt idx="6">
                        <c:v>-655637</c:v>
                      </c:pt>
                      <c:pt idx="7">
                        <c:v>-988095</c:v>
                      </c:pt>
                      <c:pt idx="8">
                        <c:v>-798982</c:v>
                      </c:pt>
                      <c:pt idx="9">
                        <c:v>-1013388</c:v>
                      </c:pt>
                      <c:pt idx="10">
                        <c:v>-1718802</c:v>
                      </c:pt>
                      <c:pt idx="11">
                        <c:v>-1056157</c:v>
                      </c:pt>
                      <c:pt idx="12">
                        <c:v>-617433</c:v>
                      </c:pt>
                      <c:pt idx="13">
                        <c:v>-864123</c:v>
                      </c:pt>
                      <c:pt idx="14">
                        <c:v>-508507</c:v>
                      </c:pt>
                      <c:pt idx="15">
                        <c:v>-426836</c:v>
                      </c:pt>
                      <c:pt idx="16">
                        <c:v>-437735</c:v>
                      </c:pt>
                      <c:pt idx="17">
                        <c:v>-347908</c:v>
                      </c:pt>
                      <c:pt idx="18">
                        <c:v>-347453</c:v>
                      </c:pt>
                      <c:pt idx="19">
                        <c:v>-359942</c:v>
                      </c:pt>
                      <c:pt idx="20">
                        <c:v>-310703</c:v>
                      </c:pt>
                      <c:pt idx="21">
                        <c:v>-594815</c:v>
                      </c:pt>
                      <c:pt idx="22">
                        <c:v>-211546</c:v>
                      </c:pt>
                      <c:pt idx="23">
                        <c:v>-614495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8FD-4109-9277-8F5A51B84C91}"/>
                  </c:ext>
                </c:extLst>
              </c15:ser>
            </c15:filteredLineSeries>
          </c:ext>
        </c:extLst>
      </c:lineChart>
      <c:dateAx>
        <c:axId val="16106070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620671"/>
        <c:crosses val="autoZero"/>
        <c:auto val="1"/>
        <c:lblOffset val="100"/>
        <c:baseTimeUnit val="months"/>
      </c:dateAx>
      <c:valAx>
        <c:axId val="1170620671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60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EBITDA trend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'06_Calculations'!$E$26</c:f>
              <c:strCache>
                <c:ptCount val="1"/>
                <c:pt idx="0">
                  <c:v>Actual EBITDA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'06_Calculations'!$A$27:$A$50</c:f>
              <c:numCache>
                <c:formatCode>mmm\-yy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'06_Calculations'!$E$27:$E$50</c:f>
              <c:numCache>
                <c:formatCode>_-[$€-2]\ * #,##0_-;\-[$€-2]\ * #,##0_-;_-[$€-2]\ * "-"??_-;_-@_-</c:formatCode>
                <c:ptCount val="24"/>
                <c:pt idx="0">
                  <c:v>3329129</c:v>
                </c:pt>
                <c:pt idx="1">
                  <c:v>2800724</c:v>
                </c:pt>
                <c:pt idx="2">
                  <c:v>2980174</c:v>
                </c:pt>
                <c:pt idx="3">
                  <c:v>1491709</c:v>
                </c:pt>
                <c:pt idx="4">
                  <c:v>1285300</c:v>
                </c:pt>
                <c:pt idx="5">
                  <c:v>1170387</c:v>
                </c:pt>
                <c:pt idx="6">
                  <c:v>1336141</c:v>
                </c:pt>
                <c:pt idx="7">
                  <c:v>1253877</c:v>
                </c:pt>
                <c:pt idx="8">
                  <c:v>1940431</c:v>
                </c:pt>
                <c:pt idx="9">
                  <c:v>2463792</c:v>
                </c:pt>
                <c:pt idx="10">
                  <c:v>2580557</c:v>
                </c:pt>
                <c:pt idx="11">
                  <c:v>4219638</c:v>
                </c:pt>
                <c:pt idx="12">
                  <c:v>4221537</c:v>
                </c:pt>
                <c:pt idx="13">
                  <c:v>3046499</c:v>
                </c:pt>
                <c:pt idx="14">
                  <c:v>3400566</c:v>
                </c:pt>
                <c:pt idx="15">
                  <c:v>2490900</c:v>
                </c:pt>
                <c:pt idx="16">
                  <c:v>2245315</c:v>
                </c:pt>
                <c:pt idx="17">
                  <c:v>1901030</c:v>
                </c:pt>
                <c:pt idx="18">
                  <c:v>1883726</c:v>
                </c:pt>
                <c:pt idx="19">
                  <c:v>2117389</c:v>
                </c:pt>
                <c:pt idx="20">
                  <c:v>2648765</c:v>
                </c:pt>
                <c:pt idx="21">
                  <c:v>3077943</c:v>
                </c:pt>
                <c:pt idx="22">
                  <c:v>4288897</c:v>
                </c:pt>
                <c:pt idx="23">
                  <c:v>4821136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46-4AE9-B58A-7937103B7CE0}"/>
            </c:ext>
          </c:extLst>
        </c:ser>
        <c:ser>
          <c:idx val="4"/>
          <c:order val="4"/>
          <c:tx>
            <c:strRef>
              <c:f>'06_Calculations'!$F$26</c:f>
              <c:strCache>
                <c:ptCount val="1"/>
                <c:pt idx="0">
                  <c:v>Budget EBITDA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'06_Calculations'!$A$27:$A$50</c:f>
              <c:numCache>
                <c:formatCode>mmm\-yy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'06_Calculations'!$F$27:$F$50</c:f>
              <c:numCache>
                <c:formatCode>_-[$€-2]\ * #,##0_-;\-[$€-2]\ * #,##0_-;_-[$€-2]\ * "-"??_-;_-@_-</c:formatCode>
                <c:ptCount val="24"/>
                <c:pt idx="0">
                  <c:v>4704361</c:v>
                </c:pt>
                <c:pt idx="1">
                  <c:v>3744957</c:v>
                </c:pt>
                <c:pt idx="2">
                  <c:v>3758716</c:v>
                </c:pt>
                <c:pt idx="3">
                  <c:v>2729398</c:v>
                </c:pt>
                <c:pt idx="4">
                  <c:v>2473396</c:v>
                </c:pt>
                <c:pt idx="5">
                  <c:v>2020341</c:v>
                </c:pt>
                <c:pt idx="6">
                  <c:v>1991778</c:v>
                </c:pt>
                <c:pt idx="7">
                  <c:v>2241972</c:v>
                </c:pt>
                <c:pt idx="8">
                  <c:v>2739413</c:v>
                </c:pt>
                <c:pt idx="9">
                  <c:v>3477180</c:v>
                </c:pt>
                <c:pt idx="10">
                  <c:v>4299359</c:v>
                </c:pt>
                <c:pt idx="11">
                  <c:v>5275795</c:v>
                </c:pt>
                <c:pt idx="12">
                  <c:v>4838970</c:v>
                </c:pt>
                <c:pt idx="13">
                  <c:v>3910622</c:v>
                </c:pt>
                <c:pt idx="14">
                  <c:v>3909073</c:v>
                </c:pt>
                <c:pt idx="15">
                  <c:v>2917736</c:v>
                </c:pt>
                <c:pt idx="16">
                  <c:v>2683050</c:v>
                </c:pt>
                <c:pt idx="17">
                  <c:v>2248938</c:v>
                </c:pt>
                <c:pt idx="18">
                  <c:v>2231179</c:v>
                </c:pt>
                <c:pt idx="19">
                  <c:v>2477331</c:v>
                </c:pt>
                <c:pt idx="20">
                  <c:v>2959468</c:v>
                </c:pt>
                <c:pt idx="21">
                  <c:v>3672758</c:v>
                </c:pt>
                <c:pt idx="22">
                  <c:v>4500443</c:v>
                </c:pt>
                <c:pt idx="23">
                  <c:v>5435631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46-4AE9-B58A-7937103B7CE0}"/>
            </c:ext>
          </c:extLst>
        </c:ser>
        <c:ser>
          <c:idx val="5"/>
          <c:order val="5"/>
          <c:tx>
            <c:strRef>
              <c:f>'06_Calculations'!$G$26</c:f>
              <c:strCache>
                <c:ptCount val="1"/>
                <c:pt idx="0">
                  <c:v>Forecast EBITDA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'06_Calculations'!$A$27:$A$50</c:f>
              <c:numCache>
                <c:formatCode>mmm\-yy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'06_Calculations'!$G$27:$G$50</c:f>
              <c:numCache>
                <c:formatCode>_-[$€-2]\ * #,##0_-;\-[$€-2]\ * #,##0_-;_-[$€-2]\ * "-"??_-;_-@_-</c:formatCode>
                <c:ptCount val="24"/>
                <c:pt idx="0">
                  <c:v>3859720</c:v>
                </c:pt>
                <c:pt idx="1">
                  <c:v>3006191</c:v>
                </c:pt>
                <c:pt idx="2">
                  <c:v>3030246</c:v>
                </c:pt>
                <c:pt idx="3">
                  <c:v>2097521</c:v>
                </c:pt>
                <c:pt idx="4">
                  <c:v>1891969</c:v>
                </c:pt>
                <c:pt idx="5">
                  <c:v>1487792</c:v>
                </c:pt>
                <c:pt idx="6">
                  <c:v>1458536</c:v>
                </c:pt>
                <c:pt idx="7">
                  <c:v>1677316</c:v>
                </c:pt>
                <c:pt idx="8">
                  <c:v>2117661</c:v>
                </c:pt>
                <c:pt idx="9">
                  <c:v>2739918</c:v>
                </c:pt>
                <c:pt idx="10">
                  <c:v>3505275</c:v>
                </c:pt>
                <c:pt idx="11">
                  <c:v>4380315</c:v>
                </c:pt>
                <c:pt idx="12">
                  <c:v>4326375</c:v>
                </c:pt>
                <c:pt idx="13">
                  <c:v>3492633</c:v>
                </c:pt>
                <c:pt idx="14">
                  <c:v>3468265</c:v>
                </c:pt>
                <c:pt idx="15">
                  <c:v>2548439</c:v>
                </c:pt>
                <c:pt idx="16">
                  <c:v>2351975</c:v>
                </c:pt>
                <c:pt idx="17">
                  <c:v>1956959</c:v>
                </c:pt>
                <c:pt idx="18">
                  <c:v>1938426</c:v>
                </c:pt>
                <c:pt idx="19">
                  <c:v>2215471</c:v>
                </c:pt>
                <c:pt idx="20">
                  <c:v>2660477</c:v>
                </c:pt>
                <c:pt idx="21">
                  <c:v>3292040</c:v>
                </c:pt>
                <c:pt idx="22">
                  <c:v>4115380</c:v>
                </c:pt>
                <c:pt idx="23">
                  <c:v>4984624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46-4AE9-B58A-7937103B7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7203407"/>
        <c:axId val="109490108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'06_Calculations'!$B$26</c15:sqref>
                        </c15:formulaRef>
                      </c:ext>
                    </c:extLst>
                    <c:strCache>
                      <c:ptCount val="1"/>
                      <c:pt idx="0">
                        <c:v>Actual Revenue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'06_Calculations'!$A$27:$A$50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  <c:pt idx="15">
                        <c:v>46113</c:v>
                      </c:pt>
                      <c:pt idx="16">
                        <c:v>46143</c:v>
                      </c:pt>
                      <c:pt idx="17">
                        <c:v>46174</c:v>
                      </c:pt>
                      <c:pt idx="18">
                        <c:v>46204</c:v>
                      </c:pt>
                      <c:pt idx="19">
                        <c:v>46235</c:v>
                      </c:pt>
                      <c:pt idx="20">
                        <c:v>46266</c:v>
                      </c:pt>
                      <c:pt idx="21">
                        <c:v>46296</c:v>
                      </c:pt>
                      <c:pt idx="22">
                        <c:v>46327</c:v>
                      </c:pt>
                      <c:pt idx="23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'06_Calculations'!$B$27:$B$50</c15:sqref>
                        </c15:formulaRef>
                      </c:ext>
                    </c:extLst>
                    <c:numCache>
                      <c:formatCode>_-[$€-2]\ * #,##0_-;\-[$€-2]\ * #,##0_-;_-[$€-2]\ * "-"??_-;_-@_-</c:formatCode>
                      <c:ptCount val="24"/>
                      <c:pt idx="0">
                        <c:v>6212435</c:v>
                      </c:pt>
                      <c:pt idx="1">
                        <c:v>5646508</c:v>
                      </c:pt>
                      <c:pt idx="2">
                        <c:v>5936102</c:v>
                      </c:pt>
                      <c:pt idx="3">
                        <c:v>4702421</c:v>
                      </c:pt>
                      <c:pt idx="4">
                        <c:v>4293722</c:v>
                      </c:pt>
                      <c:pt idx="5">
                        <c:v>3972882</c:v>
                      </c:pt>
                      <c:pt idx="6">
                        <c:v>4165986</c:v>
                      </c:pt>
                      <c:pt idx="7">
                        <c:v>4127765</c:v>
                      </c:pt>
                      <c:pt idx="8">
                        <c:v>4879266</c:v>
                      </c:pt>
                      <c:pt idx="9">
                        <c:v>5586206</c:v>
                      </c:pt>
                      <c:pt idx="10">
                        <c:v>5794661</c:v>
                      </c:pt>
                      <c:pt idx="11">
                        <c:v>7362190</c:v>
                      </c:pt>
                      <c:pt idx="12">
                        <c:v>7330978</c:v>
                      </c:pt>
                      <c:pt idx="13">
                        <c:v>6206148</c:v>
                      </c:pt>
                      <c:pt idx="14">
                        <c:v>6484996</c:v>
                      </c:pt>
                      <c:pt idx="15">
                        <c:v>5671457</c:v>
                      </c:pt>
                      <c:pt idx="16">
                        <c:v>5311856</c:v>
                      </c:pt>
                      <c:pt idx="17">
                        <c:v>4922463</c:v>
                      </c:pt>
                      <c:pt idx="18">
                        <c:v>4921035</c:v>
                      </c:pt>
                      <c:pt idx="19">
                        <c:v>5199587</c:v>
                      </c:pt>
                      <c:pt idx="20">
                        <c:v>5783056</c:v>
                      </c:pt>
                      <c:pt idx="21">
                        <c:v>6551792</c:v>
                      </c:pt>
                      <c:pt idx="22">
                        <c:v>7557749</c:v>
                      </c:pt>
                      <c:pt idx="23">
                        <c:v>8176669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9946-4AE9-B58A-7937103B7CE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'06_Calculations'!$C$26</c15:sqref>
                        </c15:formulaRef>
                      </c:ext>
                    </c:extLst>
                    <c:strCache>
                      <c:ptCount val="1"/>
                      <c:pt idx="0">
                        <c:v>Budget Revenue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'06_Calculations'!$A$27:$A$50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  <c:pt idx="15">
                        <c:v>46113</c:v>
                      </c:pt>
                      <c:pt idx="16">
                        <c:v>46143</c:v>
                      </c:pt>
                      <c:pt idx="17">
                        <c:v>46174</c:v>
                      </c:pt>
                      <c:pt idx="18">
                        <c:v>46204</c:v>
                      </c:pt>
                      <c:pt idx="19">
                        <c:v>46235</c:v>
                      </c:pt>
                      <c:pt idx="20">
                        <c:v>46266</c:v>
                      </c:pt>
                      <c:pt idx="21">
                        <c:v>46296</c:v>
                      </c:pt>
                      <c:pt idx="22">
                        <c:v>46327</c:v>
                      </c:pt>
                      <c:pt idx="23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'06_Calculations'!$C$27:$C$50</c15:sqref>
                        </c15:formulaRef>
                      </c:ext>
                    </c:extLst>
                    <c:numCache>
                      <c:formatCode>_-[$€-2]\ * #,##0_-;\-[$€-2]\ * #,##0_-;_-[$€-2]\ * "-"??_-;_-@_-</c:formatCode>
                      <c:ptCount val="24"/>
                      <c:pt idx="0">
                        <c:v>7317462</c:v>
                      </c:pt>
                      <c:pt idx="1">
                        <c:v>6282915</c:v>
                      </c:pt>
                      <c:pt idx="2">
                        <c:v>6358586</c:v>
                      </c:pt>
                      <c:pt idx="3">
                        <c:v>5386728</c:v>
                      </c:pt>
                      <c:pt idx="4">
                        <c:v>5018343</c:v>
                      </c:pt>
                      <c:pt idx="5">
                        <c:v>4539130</c:v>
                      </c:pt>
                      <c:pt idx="6">
                        <c:v>4542307</c:v>
                      </c:pt>
                      <c:pt idx="7">
                        <c:v>4826686</c:v>
                      </c:pt>
                      <c:pt idx="8">
                        <c:v>5358944</c:v>
                      </c:pt>
                      <c:pt idx="9">
                        <c:v>6302300</c:v>
                      </c:pt>
                      <c:pt idx="10">
                        <c:v>7053556</c:v>
                      </c:pt>
                      <c:pt idx="11">
                        <c:v>8116782</c:v>
                      </c:pt>
                      <c:pt idx="12">
                        <c:v>7690596</c:v>
                      </c:pt>
                      <c:pt idx="13">
                        <c:v>6665954</c:v>
                      </c:pt>
                      <c:pt idx="14">
                        <c:v>6747467</c:v>
                      </c:pt>
                      <c:pt idx="15">
                        <c:v>5806540</c:v>
                      </c:pt>
                      <c:pt idx="16">
                        <c:v>5466524</c:v>
                      </c:pt>
                      <c:pt idx="17">
                        <c:v>4999203</c:v>
                      </c:pt>
                      <c:pt idx="18">
                        <c:v>5020232</c:v>
                      </c:pt>
                      <c:pt idx="19">
                        <c:v>5300572</c:v>
                      </c:pt>
                      <c:pt idx="20">
                        <c:v>5810473</c:v>
                      </c:pt>
                      <c:pt idx="21">
                        <c:v>6736403</c:v>
                      </c:pt>
                      <c:pt idx="22">
                        <c:v>7485077</c:v>
                      </c:pt>
                      <c:pt idx="23">
                        <c:v>8495859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946-4AE9-B58A-7937103B7CE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'06_Calculations'!$D$26</c15:sqref>
                        </c15:formulaRef>
                      </c:ext>
                    </c:extLst>
                    <c:strCache>
                      <c:ptCount val="1"/>
                      <c:pt idx="0">
                        <c:v>Forecast Revenue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'06_Calculations'!$A$27:$A$50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  <c:pt idx="15">
                        <c:v>46113</c:v>
                      </c:pt>
                      <c:pt idx="16">
                        <c:v>46143</c:v>
                      </c:pt>
                      <c:pt idx="17">
                        <c:v>46174</c:v>
                      </c:pt>
                      <c:pt idx="18">
                        <c:v>46204</c:v>
                      </c:pt>
                      <c:pt idx="19">
                        <c:v>46235</c:v>
                      </c:pt>
                      <c:pt idx="20">
                        <c:v>46266</c:v>
                      </c:pt>
                      <c:pt idx="21">
                        <c:v>46296</c:v>
                      </c:pt>
                      <c:pt idx="22">
                        <c:v>46327</c:v>
                      </c:pt>
                      <c:pt idx="23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'06_Calculations'!$D$27:$D$50</c15:sqref>
                        </c15:formulaRef>
                      </c:ext>
                    </c:extLst>
                    <c:numCache>
                      <c:formatCode>_-[$€-2]\ * #,##0_-;\-[$€-2]\ * #,##0_-;_-[$€-2]\ * "-"??_-;_-@_-</c:formatCode>
                      <c:ptCount val="24"/>
                      <c:pt idx="0">
                        <c:v>6669851</c:v>
                      </c:pt>
                      <c:pt idx="1">
                        <c:v>5736093</c:v>
                      </c:pt>
                      <c:pt idx="2">
                        <c:v>5827983</c:v>
                      </c:pt>
                      <c:pt idx="3">
                        <c:v>4956826</c:v>
                      </c:pt>
                      <c:pt idx="4">
                        <c:v>4632839</c:v>
                      </c:pt>
                      <c:pt idx="5">
                        <c:v>4201265</c:v>
                      </c:pt>
                      <c:pt idx="6">
                        <c:v>4207456</c:v>
                      </c:pt>
                      <c:pt idx="7">
                        <c:v>4464088</c:v>
                      </c:pt>
                      <c:pt idx="8">
                        <c:v>4942570</c:v>
                      </c:pt>
                      <c:pt idx="9">
                        <c:v>5786098</c:v>
                      </c:pt>
                      <c:pt idx="10">
                        <c:v>6476848</c:v>
                      </c:pt>
                      <c:pt idx="11">
                        <c:v>7446401</c:v>
                      </c:pt>
                      <c:pt idx="12">
                        <c:v>7366174</c:v>
                      </c:pt>
                      <c:pt idx="13">
                        <c:v>6429149</c:v>
                      </c:pt>
                      <c:pt idx="14">
                        <c:v>6494290</c:v>
                      </c:pt>
                      <c:pt idx="15">
                        <c:v>5627886</c:v>
                      </c:pt>
                      <c:pt idx="16">
                        <c:v>5319610</c:v>
                      </c:pt>
                      <c:pt idx="17">
                        <c:v>4889100</c:v>
                      </c:pt>
                      <c:pt idx="18">
                        <c:v>4912588</c:v>
                      </c:pt>
                      <c:pt idx="19">
                        <c:v>5226723</c:v>
                      </c:pt>
                      <c:pt idx="20">
                        <c:v>5701837</c:v>
                      </c:pt>
                      <c:pt idx="21">
                        <c:v>6561174</c:v>
                      </c:pt>
                      <c:pt idx="22">
                        <c:v>7300652</c:v>
                      </c:pt>
                      <c:pt idx="23">
                        <c:v>8250976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946-4AE9-B58A-7937103B7CE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'06_Calculations'!$H$26</c15:sqref>
                        </c15:formulaRef>
                      </c:ext>
                    </c:extLst>
                    <c:strCache>
                      <c:ptCount val="1"/>
                      <c:pt idx="0">
                        <c:v>Revenue Var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'06_Calculations'!$A$27:$A$50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  <c:pt idx="15">
                        <c:v>46113</c:v>
                      </c:pt>
                      <c:pt idx="16">
                        <c:v>46143</c:v>
                      </c:pt>
                      <c:pt idx="17">
                        <c:v>46174</c:v>
                      </c:pt>
                      <c:pt idx="18">
                        <c:v>46204</c:v>
                      </c:pt>
                      <c:pt idx="19">
                        <c:v>46235</c:v>
                      </c:pt>
                      <c:pt idx="20">
                        <c:v>46266</c:v>
                      </c:pt>
                      <c:pt idx="21">
                        <c:v>46296</c:v>
                      </c:pt>
                      <c:pt idx="22">
                        <c:v>46327</c:v>
                      </c:pt>
                      <c:pt idx="23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'06_Calculations'!$H$27:$H$50</c15:sqref>
                        </c15:formulaRef>
                      </c:ext>
                    </c:extLst>
                    <c:numCache>
                      <c:formatCode>_-[$€-2]\ * #,##0_-;\-[$€-2]\ * #,##0_-;_-[$€-2]\ * "-"??_-;_-@_-</c:formatCode>
                      <c:ptCount val="24"/>
                      <c:pt idx="0">
                        <c:v>-1105027</c:v>
                      </c:pt>
                      <c:pt idx="1">
                        <c:v>-636407</c:v>
                      </c:pt>
                      <c:pt idx="2">
                        <c:v>-422484</c:v>
                      </c:pt>
                      <c:pt idx="3">
                        <c:v>-684307</c:v>
                      </c:pt>
                      <c:pt idx="4">
                        <c:v>-724621</c:v>
                      </c:pt>
                      <c:pt idx="5">
                        <c:v>-566248</c:v>
                      </c:pt>
                      <c:pt idx="6">
                        <c:v>-376321</c:v>
                      </c:pt>
                      <c:pt idx="7">
                        <c:v>-698921</c:v>
                      </c:pt>
                      <c:pt idx="8">
                        <c:v>-479678</c:v>
                      </c:pt>
                      <c:pt idx="9">
                        <c:v>-716094</c:v>
                      </c:pt>
                      <c:pt idx="10">
                        <c:v>-1258895</c:v>
                      </c:pt>
                      <c:pt idx="11">
                        <c:v>-754592</c:v>
                      </c:pt>
                      <c:pt idx="12">
                        <c:v>-359618</c:v>
                      </c:pt>
                      <c:pt idx="13">
                        <c:v>-459806</c:v>
                      </c:pt>
                      <c:pt idx="14">
                        <c:v>-262471</c:v>
                      </c:pt>
                      <c:pt idx="15">
                        <c:v>-135083</c:v>
                      </c:pt>
                      <c:pt idx="16">
                        <c:v>-154668</c:v>
                      </c:pt>
                      <c:pt idx="17">
                        <c:v>-76740</c:v>
                      </c:pt>
                      <c:pt idx="18">
                        <c:v>-99197</c:v>
                      </c:pt>
                      <c:pt idx="19">
                        <c:v>-100985</c:v>
                      </c:pt>
                      <c:pt idx="20">
                        <c:v>-27417</c:v>
                      </c:pt>
                      <c:pt idx="21">
                        <c:v>-184611</c:v>
                      </c:pt>
                      <c:pt idx="22">
                        <c:v>72672</c:v>
                      </c:pt>
                      <c:pt idx="23">
                        <c:v>-319190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946-4AE9-B58A-7937103B7CE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'06_Calculations'!$I$26</c15:sqref>
                        </c15:formulaRef>
                      </c:ext>
                    </c:extLst>
                    <c:strCache>
                      <c:ptCount val="1"/>
                      <c:pt idx="0">
                        <c:v>EBITDA Var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'06_Calculations'!$A$27:$A$50</c15:sqref>
                        </c15:formulaRef>
                      </c:ext>
                    </c:extLst>
                    <c:numCache>
                      <c:formatCode>mmm\-yy</c:formatCode>
                      <c:ptCount val="24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  <c:pt idx="15">
                        <c:v>46113</c:v>
                      </c:pt>
                      <c:pt idx="16">
                        <c:v>46143</c:v>
                      </c:pt>
                      <c:pt idx="17">
                        <c:v>46174</c:v>
                      </c:pt>
                      <c:pt idx="18">
                        <c:v>46204</c:v>
                      </c:pt>
                      <c:pt idx="19">
                        <c:v>46235</c:v>
                      </c:pt>
                      <c:pt idx="20">
                        <c:v>46266</c:v>
                      </c:pt>
                      <c:pt idx="21">
                        <c:v>46296</c:v>
                      </c:pt>
                      <c:pt idx="22">
                        <c:v>46327</c:v>
                      </c:pt>
                      <c:pt idx="23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'06_Calculations'!$I$27:$I$50</c15:sqref>
                        </c15:formulaRef>
                      </c:ext>
                    </c:extLst>
                    <c:numCache>
                      <c:formatCode>_-[$€-2]\ * #,##0_-;\-[$€-2]\ * #,##0_-;_-[$€-2]\ * "-"??_-;_-@_-</c:formatCode>
                      <c:ptCount val="24"/>
                      <c:pt idx="0">
                        <c:v>-1375232</c:v>
                      </c:pt>
                      <c:pt idx="1">
                        <c:v>-944233</c:v>
                      </c:pt>
                      <c:pt idx="2">
                        <c:v>-778542</c:v>
                      </c:pt>
                      <c:pt idx="3">
                        <c:v>-1237689</c:v>
                      </c:pt>
                      <c:pt idx="4">
                        <c:v>-1188096</c:v>
                      </c:pt>
                      <c:pt idx="5">
                        <c:v>-849954</c:v>
                      </c:pt>
                      <c:pt idx="6">
                        <c:v>-655637</c:v>
                      </c:pt>
                      <c:pt idx="7">
                        <c:v>-988095</c:v>
                      </c:pt>
                      <c:pt idx="8">
                        <c:v>-798982</c:v>
                      </c:pt>
                      <c:pt idx="9">
                        <c:v>-1013388</c:v>
                      </c:pt>
                      <c:pt idx="10">
                        <c:v>-1718802</c:v>
                      </c:pt>
                      <c:pt idx="11">
                        <c:v>-1056157</c:v>
                      </c:pt>
                      <c:pt idx="12">
                        <c:v>-617433</c:v>
                      </c:pt>
                      <c:pt idx="13">
                        <c:v>-864123</c:v>
                      </c:pt>
                      <c:pt idx="14">
                        <c:v>-508507</c:v>
                      </c:pt>
                      <c:pt idx="15">
                        <c:v>-426836</c:v>
                      </c:pt>
                      <c:pt idx="16">
                        <c:v>-437735</c:v>
                      </c:pt>
                      <c:pt idx="17">
                        <c:v>-347908</c:v>
                      </c:pt>
                      <c:pt idx="18">
                        <c:v>-347453</c:v>
                      </c:pt>
                      <c:pt idx="19">
                        <c:v>-359942</c:v>
                      </c:pt>
                      <c:pt idx="20">
                        <c:v>-310703</c:v>
                      </c:pt>
                      <c:pt idx="21">
                        <c:v>-594815</c:v>
                      </c:pt>
                      <c:pt idx="22">
                        <c:v>-211546</c:v>
                      </c:pt>
                      <c:pt idx="23">
                        <c:v>-614495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946-4AE9-B58A-7937103B7CE0}"/>
                  </c:ext>
                </c:extLst>
              </c15:ser>
            </c15:filteredLineSeries>
          </c:ext>
        </c:extLst>
      </c:lineChart>
      <c:dateAx>
        <c:axId val="149720340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901087"/>
        <c:crosses val="autoZero"/>
        <c:auto val="1"/>
        <c:lblOffset val="100"/>
        <c:baseTimeUnit val="months"/>
      </c:dateAx>
      <c:valAx>
        <c:axId val="109490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203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Scenario vs budget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'08_Scenario_Model'!$M$7</c:f>
              <c:strCache>
                <c:ptCount val="1"/>
                <c:pt idx="0">
                  <c:v> 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'08_Scenario_Model'!$N$6:$O$6</c:f>
              <c:strCache>
                <c:ptCount val="2"/>
                <c:pt idx="0">
                  <c:v>Revenue</c:v>
                </c:pt>
                <c:pt idx="1">
                  <c:v>EBITDA</c:v>
                </c:pt>
              </c:strCache>
            </c:strRef>
          </c:cat>
          <c:val>
            <c:numRef>
              <c:f>'08_Scenario_Model'!$N$7:$O$7</c:f>
              <c:numCache>
                <c:formatCode>General</c:formatCode>
                <c:ptCount val="2"/>
                <c:pt idx="0">
                  <c:v>147328639</c:v>
                </c:pt>
                <c:pt idx="1">
                  <c:v>81241865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CA-462B-B3CF-91AE187A1F49}"/>
            </c:ext>
          </c:extLst>
        </c:ser>
        <c:ser>
          <c:idx val="1"/>
          <c:order val="1"/>
          <c:tx>
            <c:strRef>
              <c:f>'08_Scenario_Model'!$M$8</c:f>
              <c:strCache>
                <c:ptCount val="1"/>
                <c:pt idx="0">
                  <c:v> Scenario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'08_Scenario_Model'!$N$6:$O$6</c:f>
              <c:strCache>
                <c:ptCount val="2"/>
                <c:pt idx="0">
                  <c:v>Revenue</c:v>
                </c:pt>
                <c:pt idx="1">
                  <c:v>EBITDA</c:v>
                </c:pt>
              </c:strCache>
            </c:strRef>
          </c:cat>
          <c:val>
            <c:numRef>
              <c:f>'08_Scenario_Model'!$N$8:$O$8</c:f>
              <c:numCache>
                <c:formatCode>General</c:formatCode>
                <c:ptCount val="2"/>
                <c:pt idx="0">
                  <c:v>147263264.14400002</c:v>
                </c:pt>
                <c:pt idx="1">
                  <c:v>78009663.184000015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CA-462B-B3CF-91AE187A1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85312"/>
        <c:axId val="1574057216"/>
      </c:barChart>
      <c:catAx>
        <c:axId val="1418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057216"/>
        <c:crosses val="autoZero"/>
        <c:auto val="1"/>
        <c:lblAlgn val="ctr"/>
        <c:lblOffset val="100"/>
        <c:noMultiLvlLbl val="0"/>
      </c:catAx>
      <c:valAx>
        <c:axId val="157405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EBITDA bridge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EBITDA bridge</a:t>
          </a:r>
        </a:p>
      </cx:txPr>
    </cx:title>
    <cx:plotArea>
      <cx:plotAreaRegion>
        <cx:series layoutId="waterfall" uniqueId="{B04F106A-2BC5-4F27-BDEE-0BE6D26073AD}">
          <cx:dataLabels pos="outEnd">
            <cx:visibility seriesName="0" categoryName="0" value="1"/>
          </cx:dataLabels>
          <cx:dataId val="0"/>
          <cx:layoutPr>
            <cx:visibility connectorLines="1"/>
            <cx:subtotals>
              <cx:idx val="0"/>
              <cx:idx val="7"/>
            </cx:subtotals>
          </cx:layoutPr>
        </cx:series>
      </cx:plotAreaRegion>
      <cx:axis id="0">
        <cx:catScaling gapWidth="0.5"/>
        <cx:tickLabels/>
      </cx:axis>
      <cx:axis id="1">
        <cx:valScaling/>
        <cx:units unit="millions"/>
        <cx:majorGridlines/>
        <cx:tickLabels/>
      </cx:axis>
    </cx:plotArea>
    <cx:legend pos="t" align="ctr" overlay="0"/>
  </cx:chart>
  <cx:spPr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EBITDA bridge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EBITDA bridge</a:t>
          </a:r>
        </a:p>
      </cx:txPr>
    </cx:title>
    <cx:plotArea>
      <cx:plotAreaRegion>
        <cx:series layoutId="waterfall" uniqueId="{B04F106A-2BC5-4F27-BDEE-0BE6D26073AD}">
          <cx:dataLabels pos="outEnd">
            <cx:numFmt formatCode="&quot;€&quot;#,##0.0,,&quot;M&quot;" sourceLinked="0"/>
            <cx:visibility seriesName="0" categoryName="0" value="1"/>
            <cx:separator>, </cx:separator>
            <cx:dataLabel idx="5">
              <cx:numFmt formatCode="&quot;€&quot;#,##0.0,,&quot;M&quot;" sourceLinked="0"/>
              <cx:separator>, </cx:separator>
            </cx:dataLabel>
          </cx:dataLabels>
          <cx:dataId val="0"/>
          <cx:layoutPr>
            <cx:visibility connectorLines="1"/>
            <cx:subtotals>
              <cx:idx val="0"/>
              <cx:idx val="7"/>
            </cx:subtotals>
          </cx:layoutPr>
        </cx:series>
      </cx:plotAreaRegion>
      <cx:axis id="0">
        <cx:catScaling gapWidth="0.5"/>
        <cx:tickLabels/>
      </cx:axis>
      <cx:axis id="1">
        <cx:valScaling min="50000000"/>
        <cx:units unit="millions"/>
        <cx:majorGridlines/>
        <cx:tickLabels/>
      </cx:axis>
    </cx:plotArea>
    <cx:legend pos="t" align="ctr" overlay="0"/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428353</xdr:colOff>
      <xdr:row>50</xdr:row>
      <xdr:rowOff>87993</xdr:rowOff>
    </xdr:from>
    <xdr:to>
      <xdr:col>3</xdr:col>
      <xdr:colOff>763270</xdr:colOff>
      <xdr:row>65</xdr:row>
      <xdr:rowOff>50256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F90E28-1B77-C2B9-A805-118420967A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25581</xdr:colOff>
      <xdr:row>50</xdr:row>
      <xdr:rowOff>103414</xdr:rowOff>
    </xdr:from>
    <xdr:to>
      <xdr:col>7</xdr:col>
      <xdr:colOff>1212124</xdr:colOff>
      <xdr:row>65</xdr:row>
      <xdr:rowOff>72027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ED7052-A0E8-382F-C385-F2723F023A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300874</xdr:colOff>
      <xdr:row>14</xdr:row>
      <xdr:rowOff>8890</xdr:rowOff>
    </xdr:from>
    <xdr:to>
      <xdr:col>11</xdr:col>
      <xdr:colOff>588818</xdr:colOff>
      <xdr:row>29</xdr:row>
      <xdr:rowOff>8890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2D31778-177B-96B9-3675-92D4B4CADC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9604" y="2570480"/>
              <a:ext cx="8179724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676835</xdr:colOff>
      <xdr:row>13</xdr:row>
      <xdr:rowOff>112058</xdr:rowOff>
    </xdr:from>
    <xdr:to>
      <xdr:col>10</xdr:col>
      <xdr:colOff>76200</xdr:colOff>
      <xdr:row>28</xdr:row>
      <xdr:rowOff>165847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0524029-BCC3-AC55-8C0B-0E94E4AA89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7620</xdr:rowOff>
    </xdr:from>
    <xdr:to>
      <xdr:col>5</xdr:col>
      <xdr:colOff>464820</xdr:colOff>
      <xdr:row>29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95F1A1-58DE-4307-A2C5-9B84BFDEDA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870857</xdr:colOff>
      <xdr:row>7</xdr:row>
      <xdr:rowOff>0</xdr:rowOff>
    </xdr:from>
    <xdr:to>
      <xdr:col>11</xdr:col>
      <xdr:colOff>328567</xdr:colOff>
      <xdr:row>29</xdr:row>
      <xdr:rowOff>143510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6C3676-CD2F-42FE-8A19-5889A7B3BD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31</xdr:row>
      <xdr:rowOff>1106</xdr:rowOff>
    </xdr:from>
    <xdr:to>
      <xdr:col>5</xdr:col>
      <xdr:colOff>443049</xdr:colOff>
      <xdr:row>55</xdr:row>
      <xdr:rowOff>13854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F71ABE0A-BF73-4D0B-B3A9-8D504A1F27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066626"/>
              <a:ext cx="4235269" cy="44044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849086</xdr:colOff>
      <xdr:row>31</xdr:row>
      <xdr:rowOff>15833</xdr:rowOff>
    </xdr:from>
    <xdr:to>
      <xdr:col>11</xdr:col>
      <xdr:colOff>399004</xdr:colOff>
      <xdr:row>54</xdr:row>
      <xdr:rowOff>120452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52ABCD3-7B37-4BEA-9DB0-33BDFC82BB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44D407BC-0569-4B14-9C71-3680BD8014DD}" autoFormatId="16" applyNumberFormats="0" applyBorderFormats="0" applyFontFormats="0" applyPatternFormats="0" applyAlignmentFormats="0" applyWidthHeightFormats="0">
  <queryTableRefresh nextId="14">
    <queryTableFields count="13">
      <queryTableField id="1" name="month" tableColumnId="1"/>
      <queryTableField id="2" name="asset_id" tableColumnId="2"/>
      <queryTableField id="3" name="production_mwh" tableColumnId="3"/>
      <queryTableField id="4" name="realized_price_eur_mwh" tableColumnId="4"/>
      <queryTableField id="5" name="revenue_eur" tableColumnId="5"/>
      <queryTableField id="6" name="direct_opex_eur" tableColumnId="6"/>
      <queryTableField id="7" name="allocated_overhead_eur" tableColumnId="7"/>
      <queryTableField id="8" name="ebitda_eur" tableColumnId="8"/>
      <queryTableField id="9" name="capex_eur" tableColumnId="9"/>
      <queryTableField id="10" name="utilization_pct" tableColumnId="10"/>
      <queryTableField id="11" name="downtime_hours" tableColumnId="11"/>
      <queryTableField id="12" name="availability_pct" tableColumnId="12"/>
      <queryTableField id="13" name="Scenario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276D3CBA-A56D-40F9-907A-E1119405002D}" autoFormatId="16" applyNumberFormats="0" applyBorderFormats="0" applyFontFormats="0" applyPatternFormats="0" applyAlignmentFormats="0" applyWidthHeightFormats="0">
  <queryTableRefresh nextId="14">
    <queryTableFields count="13">
      <queryTableField id="1" name="month" tableColumnId="1"/>
      <queryTableField id="2" name="asset_id" tableColumnId="2"/>
      <queryTableField id="3" name="production_mwh" tableColumnId="3"/>
      <queryTableField id="4" name="realized_price_eur_mwh" tableColumnId="4"/>
      <queryTableField id="5" name="revenue_eur" tableColumnId="5"/>
      <queryTableField id="6" name="direct_opex_eur" tableColumnId="6"/>
      <queryTableField id="7" name="allocated_overhead_eur" tableColumnId="7"/>
      <queryTableField id="8" name="ebitda_eur" tableColumnId="8"/>
      <queryTableField id="9" name="capex_eur" tableColumnId="9"/>
      <queryTableField id="10" name="utilization_pct" tableColumnId="10"/>
      <queryTableField id="11" name="downtime_hours" tableColumnId="11"/>
      <queryTableField id="12" name="availability_pct" tableColumnId="12"/>
      <queryTableField id="13" name="Scenario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689B748A-B26D-4492-8E9B-ABADC3FCC5AF}" autoFormatId="16" applyNumberFormats="0" applyBorderFormats="0" applyFontFormats="0" applyPatternFormats="0" applyAlignmentFormats="0" applyWidthHeightFormats="0">
  <queryTableRefresh nextId="14">
    <queryTableFields count="13">
      <queryTableField id="1" name="month" tableColumnId="1"/>
      <queryTableField id="2" name="asset_id" tableColumnId="2"/>
      <queryTableField id="3" name="production_mwh" tableColumnId="3"/>
      <queryTableField id="4" name="realized_price_eur_mwh" tableColumnId="4"/>
      <queryTableField id="5" name="revenue_eur" tableColumnId="5"/>
      <queryTableField id="6" name="direct_opex_eur" tableColumnId="6"/>
      <queryTableField id="7" name="allocated_overhead_eur" tableColumnId="7"/>
      <queryTableField id="8" name="ebitda_eur" tableColumnId="8"/>
      <queryTableField id="9" name="capex_eur" tableColumnId="9"/>
      <queryTableField id="10" name="utilization_pct" tableColumnId="10"/>
      <queryTableField id="11" name="downtime_hours" tableColumnId="11"/>
      <queryTableField id="12" name="availability_pct" tableColumnId="12"/>
      <queryTableField id="13" name="Scenario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A56AA703-D86D-4704-93BD-59E870167ECB}" autoFormatId="16" applyNumberFormats="0" applyBorderFormats="0" applyFontFormats="0" applyPatternFormats="0" applyAlignmentFormats="0" applyWidthHeightFormats="0">
  <queryTableRefresh nextId="19">
    <queryTableFields count="18">
      <queryTableField id="1" name="month" tableColumnId="1"/>
      <queryTableField id="2" name="asset_id" tableColumnId="2"/>
      <queryTableField id="3" name="production_mwh" tableColumnId="3"/>
      <queryTableField id="4" name="realized_price_eur_mwh" tableColumnId="4"/>
      <queryTableField id="5" name="revenue_eur" tableColumnId="5"/>
      <queryTableField id="6" name="direct_opex_eur" tableColumnId="6"/>
      <queryTableField id="7" name="allocated_overhead_eur" tableColumnId="7"/>
      <queryTableField id="8" name="ebitda_eur" tableColumnId="8"/>
      <queryTableField id="9" name="capex_eur" tableColumnId="9"/>
      <queryTableField id="10" name="utilization_pct" tableColumnId="10"/>
      <queryTableField id="11" name="downtime_hours" tableColumnId="11"/>
      <queryTableField id="12" name="availability_pct" tableColumnId="12"/>
      <queryTableField id="13" name="Scenario" tableColumnId="13"/>
      <queryTableField id="14" name="asset_name" tableColumnId="14"/>
      <queryTableField id="15" name="technology" tableColumnId="15"/>
      <queryTableField id="16" name="region" tableColumnId="16"/>
      <queryTableField id="17" name="capacity_mw" tableColumnId="17"/>
      <queryTableField id="18" name="asset_status" tableColumnId="1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66BC49D-3EF1-462A-9B2B-659759487F2B}" autoFormatId="16" applyNumberFormats="0" applyBorderFormats="0" applyFontFormats="0" applyPatternFormats="0" applyAlignmentFormats="0" applyWidthHeightFormats="0">
  <queryTableRefresh nextId="9">
    <queryTableFields count="8">
      <queryTableField id="1" name="asset_id" tableColumnId="1"/>
      <queryTableField id="2" name="asset_name" tableColumnId="2"/>
      <queryTableField id="3" name="technology" tableColumnId="3"/>
      <queryTableField id="4" name="region" tableColumnId="4"/>
      <queryTableField id="5" name="capacity_mw" tableColumnId="5"/>
      <queryTableField id="6" name="commercial_start_date" tableColumnId="6"/>
      <queryTableField id="7" name="ownership_share" tableColumnId="7"/>
      <queryTableField id="8" name="asset_status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127BB8DC-A841-4D78-8F87-7B56DBA77D24}" autoFormatId="16" applyNumberFormats="0" applyBorderFormats="0" applyFontFormats="0" applyPatternFormats="0" applyAlignmentFormats="0" applyWidthHeightFormats="0">
  <queryTableRefresh nextId="9">
    <queryTableFields count="8">
      <queryTableField id="1" name="scenario" tableColumnId="1"/>
      <queryTableField id="2" name="technology" tableColumnId="2"/>
      <queryTableField id="3" name="price_index" tableColumnId="3"/>
      <queryTableField id="4" name="volume_factor" tableColumnId="4"/>
      <queryTableField id="5" name="opex_inflation" tableColumnId="5"/>
      <queryTableField id="6" name="downtime_factor" tableColumnId="6"/>
      <queryTableField id="7" name="capex_delay_months" tableColumnId="7"/>
      <queryTableField id="8" name="commentary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9A2CC9AC-8DEC-46E1-83E8-1D59B0CBE4F9}" autoFormatId="16" applyNumberFormats="0" applyBorderFormats="0" applyFontFormats="0" applyPatternFormats="0" applyAlignmentFormats="0" applyWidthHeightFormats="0">
  <queryTableRefresh nextId="7">
    <queryTableFields count="6">
      <queryTableField id="1" name="month" tableColumnId="1"/>
      <queryTableField id="2" name="asset_id" tableColumnId="2"/>
      <queryTableField id="3" name="variance_type" tableColumnId="3"/>
      <queryTableField id="4" name="variance_driver" tableColumnId="4"/>
      <queryTableField id="5" name="variance_eur" tableColumnId="5"/>
      <queryTableField id="6" name="commentar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D4F82B-14A1-4797-B73D-7E09C711992C}" name="monthly_actuals" displayName="monthly_actuals" ref="A1:M121" tableType="queryTable" totalsRowShown="0" dataDxfId="75">
  <autoFilter ref="A1:M121" xr:uid="{37D4F82B-14A1-4797-B73D-7E09C711992C}"/>
  <tableColumns count="13">
    <tableColumn id="1" xr3:uid="{358E844E-52C4-4B6E-A282-ECF2C5AE1AEA}" uniqueName="1" name="month" queryTableFieldId="1" dataDxfId="74"/>
    <tableColumn id="2" xr3:uid="{1C6E6E4C-17A9-42F3-813C-805708ADC539}" uniqueName="2" name="asset_id" queryTableFieldId="2" dataDxfId="73"/>
    <tableColumn id="3" xr3:uid="{8FA7E42A-C126-484C-9F63-F9B3BCDEE4CA}" uniqueName="3" name="production_mwh" queryTableFieldId="3" dataDxfId="72"/>
    <tableColumn id="4" xr3:uid="{099C48E7-7FDB-4580-ABDA-FB530891B876}" uniqueName="4" name="realized_price_eur_mwh" queryTableFieldId="4" dataDxfId="71"/>
    <tableColumn id="5" xr3:uid="{3802899C-A08C-4012-A516-53B0E4D651F9}" uniqueName="5" name="revenue_eur" queryTableFieldId="5" dataDxfId="70"/>
    <tableColumn id="6" xr3:uid="{8F3A71A5-DA4C-4F92-9F87-FD32C0C1D1B6}" uniqueName="6" name="direct_opex_eur" queryTableFieldId="6" dataDxfId="69"/>
    <tableColumn id="7" xr3:uid="{31884B43-529C-4A55-BE19-F26552149FDA}" uniqueName="7" name="allocated_overhead_eur" queryTableFieldId="7" dataDxfId="68"/>
    <tableColumn id="8" xr3:uid="{B50DD3F7-4C0D-48E7-A083-A2E993D88A93}" uniqueName="8" name="ebitda_eur" queryTableFieldId="8" dataDxfId="67"/>
    <tableColumn id="9" xr3:uid="{3E5D8939-4D3B-45DE-82E0-3C6A1AC6117B}" uniqueName="9" name="capex_eur" queryTableFieldId="9" dataDxfId="66"/>
    <tableColumn id="10" xr3:uid="{7F72E292-CFF2-4E75-8BC4-25BBB94FAF57}" uniqueName="10" name="utilization_pct" queryTableFieldId="10" dataDxfId="65"/>
    <tableColumn id="11" xr3:uid="{72420D45-B840-490B-9F3D-7655B00A48E7}" uniqueName="11" name="downtime_hours" queryTableFieldId="11" dataDxfId="64"/>
    <tableColumn id="12" xr3:uid="{326B63D2-DFBA-4CC6-BBAF-437EC62C7C93}" uniqueName="12" name="availability_pct" queryTableFieldId="12" dataDxfId="63"/>
    <tableColumn id="13" xr3:uid="{A2AEFDC9-2839-426F-888E-988899AB4A5A}" uniqueName="13" name="Scenario" queryTableFieldId="13" dataDxfId="6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D1E6FB-FFFD-47D1-8DBA-85F915BE1CF5}" name="monthly_budget" displayName="monthly_budget" ref="A1:M121" tableType="queryTable" totalsRowShown="0" dataDxfId="61">
  <autoFilter ref="A1:M121" xr:uid="{0FD1E6FB-FFFD-47D1-8DBA-85F915BE1CF5}"/>
  <tableColumns count="13">
    <tableColumn id="1" xr3:uid="{6ADEDB05-7DAF-4086-9865-12DF9C336A56}" uniqueName="1" name="month" queryTableFieldId="1" dataDxfId="60"/>
    <tableColumn id="2" xr3:uid="{07A9B62D-933E-411C-99CF-2707DD5A48FF}" uniqueName="2" name="asset_id" queryTableFieldId="2" dataDxfId="59"/>
    <tableColumn id="3" xr3:uid="{1315B2CE-3E67-4ABA-B79E-DB529E521127}" uniqueName="3" name="production_mwh" queryTableFieldId="3" dataDxfId="58"/>
    <tableColumn id="4" xr3:uid="{34261936-74E2-4267-9B71-794BD632865E}" uniqueName="4" name="realized_price_eur_mwh" queryTableFieldId="4" dataDxfId="57"/>
    <tableColumn id="5" xr3:uid="{EC5985C1-3E42-43E5-9370-5199B5E5B81C}" uniqueName="5" name="revenue_eur" queryTableFieldId="5" dataDxfId="56"/>
    <tableColumn id="6" xr3:uid="{DEE28F3B-1820-4938-833B-1069F05429FF}" uniqueName="6" name="direct_opex_eur" queryTableFieldId="6" dataDxfId="55"/>
    <tableColumn id="7" xr3:uid="{61299A43-B286-44B4-9E31-49ACD398B6C4}" uniqueName="7" name="allocated_overhead_eur" queryTableFieldId="7" dataDxfId="54"/>
    <tableColumn id="8" xr3:uid="{352C9660-223C-4076-8F48-C246A80B7700}" uniqueName="8" name="ebitda_eur" queryTableFieldId="8" dataDxfId="53"/>
    <tableColumn id="9" xr3:uid="{33B5D162-DF1C-4AAB-B0A2-FD9EAE4767E7}" uniqueName="9" name="capex_eur" queryTableFieldId="9" dataDxfId="52"/>
    <tableColumn id="10" xr3:uid="{4F5311DC-A6A1-4619-8228-C30B0400939C}" uniqueName="10" name="utilization_pct" queryTableFieldId="10" dataDxfId="51"/>
    <tableColumn id="11" xr3:uid="{17516377-E797-4CAF-B093-079E2B2031E4}" uniqueName="11" name="downtime_hours" queryTableFieldId="11" dataDxfId="50"/>
    <tableColumn id="12" xr3:uid="{6617F933-8673-47FF-9835-223D3F1983B5}" uniqueName="12" name="availability_pct" queryTableFieldId="12" dataDxfId="49"/>
    <tableColumn id="13" xr3:uid="{8D620AAB-982D-4523-9181-BE2A0EC0EE56}" uniqueName="13" name="Scenario" queryTableFieldId="13" dataDxfId="4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1159C37-78B3-48D2-87ED-21FB3D63B0FF}" name="monthly_forecast" displayName="monthly_forecast" ref="A1:M121" tableType="queryTable" totalsRowShown="0" dataDxfId="47">
  <autoFilter ref="A1:M121" xr:uid="{51159C37-78B3-48D2-87ED-21FB3D63B0FF}"/>
  <tableColumns count="13">
    <tableColumn id="1" xr3:uid="{BA62CCF1-703C-439B-82E1-7DF3203E9F32}" uniqueName="1" name="month" queryTableFieldId="1" dataDxfId="46"/>
    <tableColumn id="2" xr3:uid="{523CF998-D15E-4391-B405-F638C9E0CCF4}" uniqueName="2" name="asset_id" queryTableFieldId="2" dataDxfId="45"/>
    <tableColumn id="3" xr3:uid="{95174493-B07B-4203-ABF2-03C6C96501DE}" uniqueName="3" name="production_mwh" queryTableFieldId="3" dataDxfId="44"/>
    <tableColumn id="4" xr3:uid="{10BA3685-B2A3-41AC-8D4A-00A87E2023A0}" uniqueName="4" name="realized_price_eur_mwh" queryTableFieldId="4" dataDxfId="43"/>
    <tableColumn id="5" xr3:uid="{6AB35661-9FBC-4391-BBA4-5EB7F8B8F712}" uniqueName="5" name="revenue_eur" queryTableFieldId="5" dataDxfId="42"/>
    <tableColumn id="6" xr3:uid="{307504AC-7D05-41AD-B424-B498F3101B29}" uniqueName="6" name="direct_opex_eur" queryTableFieldId="6" dataDxfId="41"/>
    <tableColumn id="7" xr3:uid="{6D3C6CD2-5035-4AFA-A918-C3AB31A8D2ED}" uniqueName="7" name="allocated_overhead_eur" queryTableFieldId="7" dataDxfId="40"/>
    <tableColumn id="8" xr3:uid="{5B9AA85E-ADB1-4653-903D-9B4F3AE42CA5}" uniqueName="8" name="ebitda_eur" queryTableFieldId="8" dataDxfId="39"/>
    <tableColumn id="9" xr3:uid="{D12B8220-7671-4DA9-8D0D-AA0897AD15E1}" uniqueName="9" name="capex_eur" queryTableFieldId="9" dataDxfId="38"/>
    <tableColumn id="10" xr3:uid="{EE06ADD6-27B4-4177-A415-18024DF95037}" uniqueName="10" name="utilization_pct" queryTableFieldId="10" dataDxfId="37"/>
    <tableColumn id="11" xr3:uid="{6CDCD24A-0BCB-4529-BB26-20EE780A056B}" uniqueName="11" name="downtime_hours" queryTableFieldId="11" dataDxfId="36"/>
    <tableColumn id="12" xr3:uid="{E38D87E7-4550-4488-B735-13783C4E2F4C}" uniqueName="12" name="availability_pct" queryTableFieldId="12" dataDxfId="35"/>
    <tableColumn id="13" xr3:uid="{EC1CCC9B-CA2E-4E53-926A-2BB84A721DC1}" uniqueName="13" name="Scenario" queryTableFieldId="13" dataDxfId="3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6514C71-F29B-4FCD-9F51-5D14D4020702}" name="fpna_monthly_combined" displayName="fpna_monthly_combined" ref="A1:R361" tableType="queryTable" totalsRowShown="0">
  <autoFilter ref="A1:R361" xr:uid="{E6514C71-F29B-4FCD-9F51-5D14D4020702}"/>
  <tableColumns count="18">
    <tableColumn id="1" xr3:uid="{6BCD0AE3-B5A2-45EF-940C-21661F9E0787}" uniqueName="1" name="month" queryTableFieldId="1" dataDxfId="33"/>
    <tableColumn id="2" xr3:uid="{398C0FFB-7D62-45A2-8D93-09C64AF75B98}" uniqueName="2" name="asset_id" queryTableFieldId="2" dataDxfId="32"/>
    <tableColumn id="3" xr3:uid="{B9D1BF82-80E4-4B71-9C81-48423DC739C9}" uniqueName="3" name="production_mwh" queryTableFieldId="3"/>
    <tableColumn id="4" xr3:uid="{2D1DDB50-684A-4FF3-8B9D-0B9DCC666436}" uniqueName="4" name="realized_price_eur_mwh" queryTableFieldId="4"/>
    <tableColumn id="5" xr3:uid="{3C532D97-7D31-43AF-932C-F51A1ED6CF01}" uniqueName="5" name="revenue_eur" queryTableFieldId="5"/>
    <tableColumn id="6" xr3:uid="{BB808E98-AD4E-4FE9-9E88-6B30516A4133}" uniqueName="6" name="direct_opex_eur" queryTableFieldId="6"/>
    <tableColumn id="7" xr3:uid="{BB342E46-68F9-443F-AB9B-5EDD5B24A104}" uniqueName="7" name="allocated_overhead_eur" queryTableFieldId="7"/>
    <tableColumn id="8" xr3:uid="{6E493266-DC97-429A-B9F5-0CF2C69AD097}" uniqueName="8" name="ebitda_eur" queryTableFieldId="8"/>
    <tableColumn id="9" xr3:uid="{6492728C-87A6-4D09-AD29-89D3999FF44B}" uniqueName="9" name="capex_eur" queryTableFieldId="9"/>
    <tableColumn id="10" xr3:uid="{0192F2EF-21EF-4391-981F-208B7744D1F8}" uniqueName="10" name="utilization_pct" queryTableFieldId="10"/>
    <tableColumn id="11" xr3:uid="{BE9B8A96-0F27-4EA0-B408-36921C32E8B3}" uniqueName="11" name="downtime_hours" queryTableFieldId="11"/>
    <tableColumn id="12" xr3:uid="{8F2DECDE-1C93-4DC4-A0E8-3379015DB439}" uniqueName="12" name="availability_pct" queryTableFieldId="12"/>
    <tableColumn id="13" xr3:uid="{34E7BA01-6417-4EE9-B28D-3D54AF37BA0E}" uniqueName="13" name="Scenario" queryTableFieldId="13"/>
    <tableColumn id="14" xr3:uid="{FBE27FDD-C2B4-4583-9FBC-0BAA70BACAA6}" uniqueName="14" name="asset_name" queryTableFieldId="14" dataDxfId="31"/>
    <tableColumn id="15" xr3:uid="{A2C08E31-9780-4AA4-9A5A-E279A7A850DA}" uniqueName="15" name="technology" queryTableFieldId="15" dataDxfId="30"/>
    <tableColumn id="16" xr3:uid="{5282267B-1AE3-405A-A631-DF5AC03B99A1}" uniqueName="16" name="region" queryTableFieldId="16" dataDxfId="29"/>
    <tableColumn id="17" xr3:uid="{080D815B-04A0-4F89-948C-3EB664F6179D}" uniqueName="17" name="capacity_mw" queryTableFieldId="17"/>
    <tableColumn id="18" xr3:uid="{AB8FA6D4-E459-4BF4-8E4A-CF8831942CF2}" uniqueName="18" name="asset_status" queryTableFieldId="18" dataDxfId="2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5FB2A4-D578-4CD3-8B0B-FFCA00638975}" name="assets" displayName="assets" ref="A1:H6" tableType="queryTable" totalsRowShown="0" headerRowDxfId="27" dataDxfId="26">
  <autoFilter ref="A1:H6" xr:uid="{A05FB2A4-D578-4CD3-8B0B-FFCA00638975}"/>
  <tableColumns count="8">
    <tableColumn id="1" xr3:uid="{630AA9B8-0CC0-405B-B016-6F8A7F89FF34}" uniqueName="1" name="asset_id" queryTableFieldId="1" dataDxfId="25"/>
    <tableColumn id="2" xr3:uid="{2544D513-C5A0-4114-9966-078D88221826}" uniqueName="2" name="asset_name" queryTableFieldId="2" dataDxfId="24"/>
    <tableColumn id="3" xr3:uid="{C1625C39-AAEC-45C0-9BA7-8E03AE2C1D04}" uniqueName="3" name="technology" queryTableFieldId="3" dataDxfId="23"/>
    <tableColumn id="4" xr3:uid="{AFD58A40-C790-4FBE-A7DF-183D3DF9B384}" uniqueName="4" name="region" queryTableFieldId="4" dataDxfId="22"/>
    <tableColumn id="5" xr3:uid="{E4D37281-3E81-4E9F-9137-67C07B565FAE}" uniqueName="5" name="capacity_mw" queryTableFieldId="5" dataDxfId="21"/>
    <tableColumn id="6" xr3:uid="{045E50C0-E580-4EA2-AC8B-49C35F6FA3DC}" uniqueName="6" name="commercial_start_date" queryTableFieldId="6" dataDxfId="20"/>
    <tableColumn id="7" xr3:uid="{7ADDAA51-817D-403D-84F6-7158D359BEBD}" uniqueName="7" name="ownership_share" queryTableFieldId="7" dataDxfId="19"/>
    <tableColumn id="8" xr3:uid="{9BA4A6B1-D07D-4CEF-A35F-73C155161B07}" uniqueName="8" name="asset_status" queryTableFieldId="8" dataDxfId="1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0EFB05C-AEC3-4398-A288-71026FB56497}" name="assumptions" displayName="assumptions" ref="A1:H13" tableType="queryTable" totalsRowShown="0" dataDxfId="17">
  <autoFilter ref="A1:H13" xr:uid="{40EFB05C-AEC3-4398-A288-71026FB56497}"/>
  <tableColumns count="8">
    <tableColumn id="1" xr3:uid="{71E514E5-A901-44C8-88D4-348A63A4F65A}" uniqueName="1" name="scenario" queryTableFieldId="1" dataDxfId="16"/>
    <tableColumn id="2" xr3:uid="{692D06A4-34FE-45AF-B303-2F15693749BB}" uniqueName="2" name="technology" queryTableFieldId="2" dataDxfId="15"/>
    <tableColumn id="3" xr3:uid="{B16FD412-16A7-49AA-825F-22CD69CD4F65}" uniqueName="3" name="price_index" queryTableFieldId="3" dataDxfId="14"/>
    <tableColumn id="4" xr3:uid="{ACFF026D-07E2-4DF7-BFD8-EAE45680AE88}" uniqueName="4" name="volume_factor" queryTableFieldId="4" dataDxfId="13"/>
    <tableColumn id="5" xr3:uid="{A13BA2DC-E042-4F4C-9BAA-3D51536AA0EF}" uniqueName="5" name="opex_inflation" queryTableFieldId="5" dataDxfId="12"/>
    <tableColumn id="6" xr3:uid="{D7ADD4DA-D428-42B2-B2DE-E662DD6931A5}" uniqueName="6" name="downtime_factor" queryTableFieldId="6" dataDxfId="11"/>
    <tableColumn id="7" xr3:uid="{553B028A-ED73-48D7-8B69-AD3F958C74DF}" uniqueName="7" name="capex_delay_months" queryTableFieldId="7" dataDxfId="10"/>
    <tableColumn id="8" xr3:uid="{CF3CF71B-2A51-4EF5-A0F9-17051E8A78DF}" uniqueName="8" name="commentary" queryTableFieldId="8" dataDxf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C4819C-436F-4F27-9DEA-6F714F329F5D}" name="variance_drivers" displayName="variance_drivers" ref="A1:F721" tableType="queryTable" totalsRowShown="0" dataDxfId="8">
  <autoFilter ref="A1:F721" xr:uid="{35C4819C-436F-4F27-9DEA-6F714F329F5D}"/>
  <tableColumns count="6">
    <tableColumn id="1" xr3:uid="{FD583C22-EF1A-406F-AE56-66662B543422}" uniqueName="1" name="month" queryTableFieldId="1" dataDxfId="7"/>
    <tableColumn id="2" xr3:uid="{4E9386BB-4EA8-4CE2-82FA-16B8FCFC4000}" uniqueName="2" name="asset_id" queryTableFieldId="2" dataDxfId="6"/>
    <tableColumn id="3" xr3:uid="{CA587F0C-F076-4830-9A72-1711D0804242}" uniqueName="3" name="variance_type" queryTableFieldId="3" dataDxfId="5"/>
    <tableColumn id="4" xr3:uid="{218F8617-2079-4A61-9BF9-5F21D7B8183F}" uniqueName="4" name="variance_driver" queryTableFieldId="4" dataDxfId="4"/>
    <tableColumn id="5" xr3:uid="{9667C9F2-B6D2-4BB3-9C23-8ED25C6C6DB5}" uniqueName="5" name="variance_eur" queryTableFieldId="5" dataDxfId="3"/>
    <tableColumn id="6" xr3:uid="{92BE36F2-5994-4FAE-89B6-730C502C670E}" uniqueName="6" name="commentary" queryTableFieldId="6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4"/>
  <sheetViews>
    <sheetView showGridLines="0" zoomScale="85" zoomScaleNormal="85" workbookViewId="0">
      <selection activeCell="A24" sqref="A24:K24"/>
    </sheetView>
  </sheetViews>
  <sheetFormatPr defaultRowHeight="14.5" x14ac:dyDescent="0.35"/>
  <sheetData>
    <row r="1" spans="1:11" ht="14.5" customHeight="1" x14ac:dyDescent="0.35">
      <c r="A1" s="55" t="s">
        <v>194</v>
      </c>
      <c r="B1" s="55"/>
      <c r="C1" s="55"/>
      <c r="D1" s="55"/>
      <c r="E1" s="55"/>
      <c r="F1" s="55"/>
      <c r="G1" s="55"/>
      <c r="H1" s="55"/>
      <c r="I1" s="55"/>
      <c r="J1" s="55"/>
      <c r="K1" s="55"/>
    </row>
    <row r="2" spans="1:11" x14ac:dyDescent="0.3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</row>
    <row r="3" spans="1:11" x14ac:dyDescent="0.35">
      <c r="A3" s="39" t="s">
        <v>195</v>
      </c>
      <c r="B3" s="40"/>
      <c r="C3" s="40"/>
      <c r="D3" s="40"/>
      <c r="E3" s="40"/>
      <c r="F3" s="40"/>
      <c r="G3" s="40"/>
      <c r="H3" s="40"/>
      <c r="I3" s="40"/>
      <c r="J3" s="40"/>
      <c r="K3" s="41"/>
    </row>
    <row r="4" spans="1:11" x14ac:dyDescent="0.35">
      <c r="A4" s="47" t="s">
        <v>199</v>
      </c>
      <c r="B4" s="48"/>
      <c r="C4" s="49"/>
      <c r="D4" s="48"/>
      <c r="E4" s="49"/>
      <c r="F4" s="49"/>
      <c r="G4" s="49"/>
      <c r="H4" s="49"/>
      <c r="I4" s="49"/>
      <c r="J4" s="49"/>
      <c r="K4" s="50"/>
    </row>
    <row r="5" spans="1:11" x14ac:dyDescent="0.35">
      <c r="A5" s="47"/>
      <c r="B5" s="48"/>
      <c r="C5" s="49"/>
      <c r="D5" s="48"/>
      <c r="E5" s="49"/>
      <c r="F5" s="49"/>
      <c r="G5" s="49"/>
      <c r="H5" s="49"/>
      <c r="I5" s="49"/>
      <c r="J5" s="49"/>
      <c r="K5" s="50"/>
    </row>
    <row r="6" spans="1:11" x14ac:dyDescent="0.35">
      <c r="A6" s="47"/>
      <c r="B6" s="48"/>
      <c r="C6" s="49"/>
      <c r="D6" s="48"/>
      <c r="E6" s="49"/>
      <c r="F6" s="49"/>
      <c r="G6" s="49"/>
      <c r="H6" s="49"/>
      <c r="I6" s="49"/>
      <c r="J6" s="49"/>
      <c r="K6" s="50"/>
    </row>
    <row r="7" spans="1:11" x14ac:dyDescent="0.35">
      <c r="A7" s="61"/>
      <c r="B7" s="62"/>
      <c r="C7" s="63"/>
      <c r="D7" s="62"/>
      <c r="E7" s="63"/>
      <c r="F7" s="63"/>
      <c r="G7" s="63"/>
      <c r="H7" s="63"/>
      <c r="I7" s="63"/>
      <c r="J7" s="63"/>
      <c r="K7" s="64"/>
    </row>
    <row r="8" spans="1:11" x14ac:dyDescent="0.35">
      <c r="A8" s="42" t="s">
        <v>196</v>
      </c>
      <c r="B8" s="43"/>
      <c r="C8" s="42"/>
      <c r="D8" s="43"/>
      <c r="E8" s="42"/>
      <c r="F8" s="42"/>
      <c r="G8" s="42"/>
      <c r="H8" s="42"/>
      <c r="I8" s="42"/>
      <c r="J8" s="42"/>
      <c r="K8" s="42"/>
    </row>
    <row r="9" spans="1:11" x14ac:dyDescent="0.35">
      <c r="A9" s="51" t="s">
        <v>200</v>
      </c>
      <c r="B9" s="52"/>
      <c r="C9" s="53"/>
      <c r="D9" s="52"/>
      <c r="E9" s="53"/>
      <c r="F9" s="53"/>
      <c r="G9" s="53"/>
      <c r="H9" s="53"/>
      <c r="I9" s="53"/>
      <c r="J9" s="53"/>
      <c r="K9" s="54"/>
    </row>
    <row r="10" spans="1:11" x14ac:dyDescent="0.35">
      <c r="A10" s="44" t="s">
        <v>201</v>
      </c>
      <c r="B10" s="45"/>
      <c r="C10" s="45"/>
      <c r="D10" s="45"/>
      <c r="E10" s="45"/>
      <c r="F10" s="45"/>
      <c r="G10" s="45"/>
      <c r="H10" s="45"/>
      <c r="I10" s="45"/>
      <c r="J10" s="45"/>
      <c r="K10" s="46"/>
    </row>
    <row r="11" spans="1:11" x14ac:dyDescent="0.35">
      <c r="A11" s="44" t="s">
        <v>202</v>
      </c>
      <c r="B11" s="45"/>
      <c r="C11" s="45"/>
      <c r="D11" s="45"/>
      <c r="E11" s="45"/>
      <c r="F11" s="45"/>
      <c r="G11" s="45"/>
      <c r="H11" s="45"/>
      <c r="I11" s="45"/>
      <c r="J11" s="45"/>
      <c r="K11" s="46"/>
    </row>
    <row r="12" spans="1:11" x14ac:dyDescent="0.35">
      <c r="A12" s="44" t="s">
        <v>203</v>
      </c>
      <c r="B12" s="45"/>
      <c r="C12" s="45"/>
      <c r="D12" s="45"/>
      <c r="E12" s="45"/>
      <c r="F12" s="45"/>
      <c r="G12" s="45"/>
      <c r="H12" s="45"/>
      <c r="I12" s="45"/>
      <c r="J12" s="45"/>
      <c r="K12" s="46"/>
    </row>
    <row r="13" spans="1:11" x14ac:dyDescent="0.35">
      <c r="A13" s="44" t="s">
        <v>204</v>
      </c>
      <c r="B13" s="45"/>
      <c r="C13" s="45"/>
      <c r="D13" s="45"/>
      <c r="E13" s="45"/>
      <c r="F13" s="45"/>
      <c r="G13" s="45"/>
      <c r="H13" s="45"/>
      <c r="I13" s="45"/>
      <c r="J13" s="45"/>
      <c r="K13" s="46"/>
    </row>
    <row r="14" spans="1:11" x14ac:dyDescent="0.35">
      <c r="A14" s="8"/>
      <c r="B14" s="9"/>
      <c r="C14" s="9"/>
      <c r="D14" s="9"/>
      <c r="E14" s="9"/>
      <c r="F14" s="9"/>
      <c r="G14" s="9"/>
      <c r="H14" s="9"/>
      <c r="I14" s="9"/>
      <c r="J14" s="9"/>
      <c r="K14" s="10"/>
    </row>
    <row r="15" spans="1:11" x14ac:dyDescent="0.35">
      <c r="A15" s="38" t="s">
        <v>197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</row>
    <row r="16" spans="1:11" x14ac:dyDescent="0.35">
      <c r="A16" s="51" t="s">
        <v>205</v>
      </c>
      <c r="B16" s="53"/>
      <c r="C16" s="53"/>
      <c r="D16" s="53"/>
      <c r="E16" s="53"/>
      <c r="F16" s="53"/>
      <c r="G16" s="53"/>
      <c r="H16" s="53"/>
      <c r="I16" s="53"/>
      <c r="J16" s="53"/>
      <c r="K16" s="54"/>
    </row>
    <row r="17" spans="1:11" x14ac:dyDescent="0.35">
      <c r="A17" s="44" t="s">
        <v>206</v>
      </c>
      <c r="B17" s="45"/>
      <c r="C17" s="45"/>
      <c r="D17" s="45"/>
      <c r="E17" s="45"/>
      <c r="F17" s="45"/>
      <c r="G17" s="45"/>
      <c r="H17" s="45"/>
      <c r="I17" s="45"/>
      <c r="J17" s="45"/>
      <c r="K17" s="46"/>
    </row>
    <row r="18" spans="1:11" x14ac:dyDescent="0.35">
      <c r="A18" s="44" t="s">
        <v>207</v>
      </c>
      <c r="B18" s="45"/>
      <c r="C18" s="45"/>
      <c r="D18" s="45"/>
      <c r="E18" s="45"/>
      <c r="F18" s="45"/>
      <c r="G18" s="45"/>
      <c r="H18" s="45"/>
      <c r="I18" s="45"/>
      <c r="J18" s="45"/>
      <c r="K18" s="46"/>
    </row>
    <row r="19" spans="1:11" x14ac:dyDescent="0.35">
      <c r="A19" s="44" t="s">
        <v>208</v>
      </c>
      <c r="B19" s="45"/>
      <c r="C19" s="45"/>
      <c r="D19" s="45"/>
      <c r="E19" s="45"/>
      <c r="F19" s="45"/>
      <c r="G19" s="45"/>
      <c r="H19" s="45"/>
      <c r="I19" s="45"/>
      <c r="J19" s="45"/>
      <c r="K19" s="46"/>
    </row>
    <row r="20" spans="1:11" x14ac:dyDescent="0.35">
      <c r="A20" s="44" t="s">
        <v>209</v>
      </c>
      <c r="B20" s="45"/>
      <c r="C20" s="45"/>
      <c r="D20" s="45"/>
      <c r="E20" s="45"/>
      <c r="F20" s="45"/>
      <c r="G20" s="45"/>
      <c r="H20" s="45"/>
      <c r="I20" s="45"/>
      <c r="J20" s="45"/>
      <c r="K20" s="46"/>
    </row>
    <row r="21" spans="1:11" x14ac:dyDescent="0.35">
      <c r="A21" s="44" t="s">
        <v>210</v>
      </c>
      <c r="B21" s="45"/>
      <c r="C21" s="45"/>
      <c r="D21" s="45"/>
      <c r="E21" s="45"/>
      <c r="F21" s="45"/>
      <c r="G21" s="45"/>
      <c r="H21" s="45"/>
      <c r="I21" s="45"/>
      <c r="J21" s="45"/>
      <c r="K21" s="46"/>
    </row>
    <row r="22" spans="1:11" x14ac:dyDescent="0.35">
      <c r="A22" s="44" t="s">
        <v>211</v>
      </c>
      <c r="B22" s="45"/>
      <c r="C22" s="45"/>
      <c r="D22" s="45"/>
      <c r="E22" s="45"/>
      <c r="F22" s="45"/>
      <c r="G22" s="45"/>
      <c r="H22" s="45"/>
      <c r="I22" s="45"/>
      <c r="J22" s="45"/>
      <c r="K22" s="46"/>
    </row>
    <row r="23" spans="1:11" x14ac:dyDescent="0.35">
      <c r="A23" s="44" t="s">
        <v>212</v>
      </c>
      <c r="B23" s="45"/>
      <c r="C23" s="45"/>
      <c r="D23" s="45"/>
      <c r="E23" s="45"/>
      <c r="F23" s="45"/>
      <c r="G23" s="45"/>
      <c r="H23" s="45"/>
      <c r="I23" s="45"/>
      <c r="J23" s="45"/>
      <c r="K23" s="46"/>
    </row>
    <row r="24" spans="1:11" x14ac:dyDescent="0.35">
      <c r="A24" s="44" t="s">
        <v>213</v>
      </c>
      <c r="B24" s="45"/>
      <c r="C24" s="45"/>
      <c r="D24" s="45"/>
      <c r="E24" s="45"/>
      <c r="F24" s="45"/>
      <c r="G24" s="45"/>
      <c r="H24" s="45"/>
      <c r="I24" s="45"/>
      <c r="J24" s="45"/>
      <c r="K24" s="46"/>
    </row>
    <row r="25" spans="1:11" x14ac:dyDescent="0.35">
      <c r="A25" s="44" t="s">
        <v>214</v>
      </c>
      <c r="B25" s="45"/>
      <c r="C25" s="45"/>
      <c r="D25" s="45"/>
      <c r="E25" s="45"/>
      <c r="F25" s="45"/>
      <c r="G25" s="45"/>
      <c r="H25" s="45"/>
      <c r="I25" s="45"/>
      <c r="J25" s="45"/>
      <c r="K25" s="46"/>
    </row>
    <row r="26" spans="1:11" x14ac:dyDescent="0.35">
      <c r="A26" s="57" t="s">
        <v>246</v>
      </c>
      <c r="B26" s="57"/>
      <c r="C26" s="57"/>
      <c r="D26" s="57"/>
      <c r="E26" s="57"/>
      <c r="F26" s="57"/>
      <c r="G26" s="57"/>
      <c r="H26" s="57"/>
      <c r="I26" s="57"/>
      <c r="J26" s="57"/>
      <c r="K26" s="58"/>
    </row>
    <row r="27" spans="1:11" x14ac:dyDescent="0.35">
      <c r="A27" s="57" t="s">
        <v>247</v>
      </c>
      <c r="B27" s="57"/>
      <c r="C27" s="57"/>
      <c r="D27" s="57"/>
      <c r="E27" s="57"/>
      <c r="F27" s="57"/>
      <c r="G27" s="57"/>
      <c r="H27" s="57"/>
      <c r="I27" s="57"/>
      <c r="J27" s="57"/>
      <c r="K27" s="58"/>
    </row>
    <row r="28" spans="1:11" x14ac:dyDescent="0.35">
      <c r="A28" s="59" t="s">
        <v>248</v>
      </c>
      <c r="B28" s="59"/>
      <c r="C28" s="59"/>
      <c r="D28" s="59"/>
      <c r="E28" s="59"/>
      <c r="F28" s="59"/>
      <c r="G28" s="59"/>
      <c r="H28" s="59"/>
      <c r="I28" s="59"/>
      <c r="J28" s="59"/>
      <c r="K28" s="60"/>
    </row>
    <row r="29" spans="1:11" x14ac:dyDescent="0.35">
      <c r="A29" s="5"/>
      <c r="B29" s="6"/>
      <c r="C29" s="6"/>
      <c r="D29" s="6"/>
      <c r="E29" s="6"/>
      <c r="F29" s="6"/>
      <c r="G29" s="6"/>
      <c r="H29" s="6"/>
      <c r="I29" s="6"/>
      <c r="J29" s="6"/>
      <c r="K29" s="7"/>
    </row>
    <row r="30" spans="1:11" x14ac:dyDescent="0.35">
      <c r="A30" s="31" t="s">
        <v>198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</row>
    <row r="31" spans="1:11" x14ac:dyDescent="0.35">
      <c r="A31" s="32" t="s">
        <v>193</v>
      </c>
      <c r="B31" s="33"/>
      <c r="C31" s="33"/>
      <c r="D31" s="33"/>
      <c r="E31" s="33"/>
      <c r="F31" s="33"/>
      <c r="G31" s="33"/>
      <c r="H31" s="33"/>
      <c r="I31" s="33"/>
      <c r="J31" s="33"/>
      <c r="K31" s="34"/>
    </row>
    <row r="32" spans="1:11" x14ac:dyDescent="0.35">
      <c r="A32" s="35"/>
      <c r="B32" s="36"/>
      <c r="C32" s="36"/>
      <c r="D32" s="36"/>
      <c r="E32" s="36"/>
      <c r="F32" s="36"/>
      <c r="G32" s="36"/>
      <c r="H32" s="36"/>
      <c r="I32" s="36"/>
      <c r="J32" s="36"/>
      <c r="K32" s="37"/>
    </row>
    <row r="34" spans="1:1" x14ac:dyDescent="0.35">
      <c r="A34" t="s">
        <v>250</v>
      </c>
    </row>
  </sheetData>
  <mergeCells count="26">
    <mergeCell ref="A1:K2"/>
    <mergeCell ref="A26:K26"/>
    <mergeCell ref="A27:K27"/>
    <mergeCell ref="A28:K28"/>
    <mergeCell ref="A19:K19"/>
    <mergeCell ref="A18:K18"/>
    <mergeCell ref="A17:K17"/>
    <mergeCell ref="A16:K16"/>
    <mergeCell ref="A10:K10"/>
    <mergeCell ref="A7:K7"/>
    <mergeCell ref="A30:K30"/>
    <mergeCell ref="A31:K32"/>
    <mergeCell ref="A15:K15"/>
    <mergeCell ref="A3:K3"/>
    <mergeCell ref="A8:K8"/>
    <mergeCell ref="A25:K25"/>
    <mergeCell ref="A24:K24"/>
    <mergeCell ref="A23:K23"/>
    <mergeCell ref="A22:K22"/>
    <mergeCell ref="A21:K21"/>
    <mergeCell ref="A20:K20"/>
    <mergeCell ref="A4:K6"/>
    <mergeCell ref="A9:K9"/>
    <mergeCell ref="A13:K13"/>
    <mergeCell ref="A12:K12"/>
    <mergeCell ref="A11:K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FFD7E-E16D-4EDA-8D00-24A70B94DD00}">
  <sheetPr codeName="Sheet2"/>
  <dimension ref="A1:N25"/>
  <sheetViews>
    <sheetView showGridLines="0" zoomScaleNormal="100" workbookViewId="0">
      <selection activeCell="A25" sqref="A25:N25"/>
    </sheetView>
  </sheetViews>
  <sheetFormatPr defaultRowHeight="14.5" x14ac:dyDescent="0.35"/>
  <sheetData>
    <row r="1" spans="1:14" x14ac:dyDescent="0.35">
      <c r="A1" s="69" t="s">
        <v>215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1"/>
    </row>
    <row r="2" spans="1:14" x14ac:dyDescent="0.3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4"/>
    </row>
    <row r="3" spans="1:14" x14ac:dyDescent="0.35">
      <c r="A3" s="65" t="s">
        <v>216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7"/>
    </row>
    <row r="4" spans="1:14" x14ac:dyDescent="0.35">
      <c r="A4" s="68" t="s">
        <v>220</v>
      </c>
      <c r="B4" s="78"/>
      <c r="C4" s="57"/>
      <c r="D4" s="78"/>
      <c r="E4" s="57"/>
      <c r="F4" s="57"/>
      <c r="G4" s="57"/>
      <c r="H4" s="57"/>
      <c r="I4" s="57"/>
      <c r="J4" s="57"/>
      <c r="K4" s="57"/>
      <c r="L4" s="57"/>
      <c r="M4" s="57"/>
      <c r="N4" s="58"/>
    </row>
    <row r="5" spans="1:14" x14ac:dyDescent="0.35">
      <c r="A5" s="68" t="s">
        <v>221</v>
      </c>
      <c r="B5" s="78"/>
      <c r="C5" s="57"/>
      <c r="D5" s="78"/>
      <c r="E5" s="57"/>
      <c r="F5" s="57"/>
      <c r="G5" s="57"/>
      <c r="H5" s="57"/>
      <c r="I5" s="57"/>
      <c r="J5" s="57"/>
      <c r="K5" s="57"/>
      <c r="L5" s="57"/>
      <c r="M5" s="57"/>
      <c r="N5" s="58"/>
    </row>
    <row r="6" spans="1:14" x14ac:dyDescent="0.35">
      <c r="A6" s="68" t="s">
        <v>222</v>
      </c>
      <c r="B6" s="78"/>
      <c r="C6" s="57"/>
      <c r="D6" s="78"/>
      <c r="E6" s="57"/>
      <c r="F6" s="57"/>
      <c r="G6" s="57"/>
      <c r="H6" s="57"/>
      <c r="I6" s="57"/>
      <c r="J6" s="57"/>
      <c r="K6" s="57"/>
      <c r="L6" s="57"/>
      <c r="M6" s="57"/>
      <c r="N6" s="58"/>
    </row>
    <row r="7" spans="1:14" x14ac:dyDescent="0.35">
      <c r="A7" s="68"/>
      <c r="B7" s="78"/>
      <c r="C7" s="57"/>
      <c r="D7" s="78"/>
      <c r="E7" s="57"/>
      <c r="F7" s="57"/>
      <c r="G7" s="57"/>
      <c r="H7" s="57"/>
      <c r="I7" s="57"/>
      <c r="J7" s="57"/>
      <c r="K7" s="57"/>
      <c r="L7" s="57"/>
      <c r="M7" s="57"/>
      <c r="N7" s="58"/>
    </row>
    <row r="8" spans="1:14" x14ac:dyDescent="0.35">
      <c r="A8" s="65" t="s">
        <v>217</v>
      </c>
      <c r="B8" s="79"/>
      <c r="C8" s="66"/>
      <c r="D8" s="79"/>
      <c r="E8" s="66"/>
      <c r="F8" s="66"/>
      <c r="G8" s="66"/>
      <c r="H8" s="66"/>
      <c r="I8" s="66"/>
      <c r="J8" s="66"/>
      <c r="K8" s="66"/>
      <c r="L8" s="66"/>
      <c r="M8" s="66"/>
      <c r="N8" s="67"/>
    </row>
    <row r="9" spans="1:14" x14ac:dyDescent="0.35">
      <c r="A9" s="68" t="s">
        <v>223</v>
      </c>
      <c r="B9" s="78"/>
      <c r="C9" s="57"/>
      <c r="D9" s="78"/>
      <c r="E9" s="57"/>
      <c r="F9" s="57"/>
      <c r="G9" s="57"/>
      <c r="H9" s="57"/>
      <c r="I9" s="57"/>
      <c r="J9" s="57"/>
      <c r="K9" s="57"/>
      <c r="L9" s="57"/>
      <c r="M9" s="57"/>
      <c r="N9" s="58"/>
    </row>
    <row r="10" spans="1:14" x14ac:dyDescent="0.35">
      <c r="A10" s="68" t="s">
        <v>224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8"/>
    </row>
    <row r="11" spans="1:14" x14ac:dyDescent="0.35">
      <c r="A11" s="68" t="s">
        <v>225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8"/>
    </row>
    <row r="12" spans="1:14" x14ac:dyDescent="0.35">
      <c r="A12" s="68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8"/>
    </row>
    <row r="13" spans="1:14" x14ac:dyDescent="0.35">
      <c r="A13" s="68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8"/>
    </row>
    <row r="14" spans="1:14" x14ac:dyDescent="0.35">
      <c r="A14" s="65" t="s">
        <v>219</v>
      </c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7"/>
    </row>
    <row r="15" spans="1:14" x14ac:dyDescent="0.35">
      <c r="A15" s="68" t="s">
        <v>226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8"/>
    </row>
    <row r="16" spans="1:14" x14ac:dyDescent="0.35">
      <c r="A16" s="68" t="s">
        <v>227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8"/>
    </row>
    <row r="17" spans="1:14" x14ac:dyDescent="0.35">
      <c r="A17" s="68" t="s">
        <v>228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8"/>
    </row>
    <row r="18" spans="1:14" x14ac:dyDescent="0.35">
      <c r="A18" s="68" t="s">
        <v>229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8"/>
    </row>
    <row r="19" spans="1:14" x14ac:dyDescent="0.35">
      <c r="A19" s="68" t="s">
        <v>230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8"/>
    </row>
    <row r="20" spans="1:14" x14ac:dyDescent="0.35">
      <c r="A20" s="68" t="s">
        <v>231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8"/>
    </row>
    <row r="21" spans="1:14" x14ac:dyDescent="0.35">
      <c r="A21" s="61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4"/>
    </row>
    <row r="22" spans="1:14" x14ac:dyDescent="0.35">
      <c r="A22" s="65" t="s">
        <v>218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7"/>
    </row>
    <row r="23" spans="1:14" x14ac:dyDescent="0.35">
      <c r="A23" s="68" t="s">
        <v>232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8"/>
    </row>
    <row r="24" spans="1:14" x14ac:dyDescent="0.35">
      <c r="A24" s="68" t="s">
        <v>233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8"/>
    </row>
    <row r="25" spans="1:14" x14ac:dyDescent="0.35">
      <c r="A25" s="75" t="s">
        <v>234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7"/>
    </row>
  </sheetData>
  <mergeCells count="24">
    <mergeCell ref="A1:N2"/>
    <mergeCell ref="A16:N16"/>
    <mergeCell ref="A25:N25"/>
    <mergeCell ref="A24:N24"/>
    <mergeCell ref="A22:N22"/>
    <mergeCell ref="A21:N21"/>
    <mergeCell ref="A20:N20"/>
    <mergeCell ref="A19:N19"/>
    <mergeCell ref="A18:N18"/>
    <mergeCell ref="A23:N23"/>
    <mergeCell ref="A9:N9"/>
    <mergeCell ref="A8:N8"/>
    <mergeCell ref="A7:N7"/>
    <mergeCell ref="A6:N6"/>
    <mergeCell ref="A5:N5"/>
    <mergeCell ref="A4:N4"/>
    <mergeCell ref="A3:N3"/>
    <mergeCell ref="A17:N17"/>
    <mergeCell ref="A15:N15"/>
    <mergeCell ref="A14:N14"/>
    <mergeCell ref="A13:N13"/>
    <mergeCell ref="A12:N12"/>
    <mergeCell ref="A11:N11"/>
    <mergeCell ref="A10:N1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C2F2-4D19-44BB-97BC-CA10885EA9A6}">
  <sheetPr codeName="Sheet3"/>
  <dimension ref="A1:D9"/>
  <sheetViews>
    <sheetView showGridLines="0" workbookViewId="0">
      <selection activeCell="M14" sqref="M14"/>
    </sheetView>
  </sheetViews>
  <sheetFormatPr defaultRowHeight="14.5" x14ac:dyDescent="0.35"/>
  <cols>
    <col min="1" max="1" width="22.54296875" bestFit="1" customWidth="1"/>
  </cols>
  <sheetData>
    <row r="1" spans="1:4" x14ac:dyDescent="0.35">
      <c r="A1" s="80" t="s">
        <v>235</v>
      </c>
      <c r="B1" s="81"/>
      <c r="C1" s="81"/>
      <c r="D1" s="82"/>
    </row>
    <row r="2" spans="1:4" x14ac:dyDescent="0.35">
      <c r="A2" s="83"/>
      <c r="B2" s="55"/>
      <c r="C2" s="55"/>
      <c r="D2" s="84"/>
    </row>
    <row r="3" spans="1:4" x14ac:dyDescent="0.35">
      <c r="A3" s="11" t="s">
        <v>236</v>
      </c>
      <c r="B3" s="12" t="s">
        <v>237</v>
      </c>
      <c r="C3" s="12" t="s">
        <v>238</v>
      </c>
      <c r="D3" s="13" t="s">
        <v>239</v>
      </c>
    </row>
    <row r="4" spans="1:4" x14ac:dyDescent="0.35">
      <c r="A4" s="11" t="s">
        <v>240</v>
      </c>
      <c r="B4" s="25">
        <f>ROWS(assets[])</f>
        <v>5</v>
      </c>
      <c r="C4" s="6">
        <v>5</v>
      </c>
      <c r="D4" s="27" t="str">
        <f t="shared" ref="D4:D9" si="0">IF(B4=C4,"Pass","Check")</f>
        <v>Pass</v>
      </c>
    </row>
    <row r="5" spans="1:4" x14ac:dyDescent="0.35">
      <c r="A5" s="11" t="s">
        <v>241</v>
      </c>
      <c r="B5" s="25">
        <f>ROWS(monthly_actuals[])</f>
        <v>120</v>
      </c>
      <c r="C5" s="6">
        <v>120</v>
      </c>
      <c r="D5" s="27" t="str">
        <f t="shared" si="0"/>
        <v>Pass</v>
      </c>
    </row>
    <row r="6" spans="1:4" x14ac:dyDescent="0.35">
      <c r="A6" s="11" t="s">
        <v>242</v>
      </c>
      <c r="B6" s="25">
        <f>ROWS(monthly_budget[])</f>
        <v>120</v>
      </c>
      <c r="C6" s="6">
        <v>120</v>
      </c>
      <c r="D6" s="27" t="str">
        <f t="shared" si="0"/>
        <v>Pass</v>
      </c>
    </row>
    <row r="7" spans="1:4" x14ac:dyDescent="0.35">
      <c r="A7" s="11" t="s">
        <v>243</v>
      </c>
      <c r="B7" s="25">
        <f>ROWS(monthly_forecast[])</f>
        <v>120</v>
      </c>
      <c r="C7" s="6">
        <v>120</v>
      </c>
      <c r="D7" s="27" t="str">
        <f t="shared" si="0"/>
        <v>Pass</v>
      </c>
    </row>
    <row r="8" spans="1:4" x14ac:dyDescent="0.35">
      <c r="A8" s="11" t="s">
        <v>244</v>
      </c>
      <c r="B8" s="25">
        <f>ROWS(variance_drivers[])</f>
        <v>720</v>
      </c>
      <c r="C8" s="6">
        <v>720</v>
      </c>
      <c r="D8" s="27" t="str">
        <f t="shared" si="0"/>
        <v>Pass</v>
      </c>
    </row>
    <row r="9" spans="1:4" x14ac:dyDescent="0.35">
      <c r="A9" s="14" t="s">
        <v>245</v>
      </c>
      <c r="B9" s="26">
        <f>ROWS(fpna_monthly_combined[])</f>
        <v>360</v>
      </c>
      <c r="C9" s="9">
        <v>360</v>
      </c>
      <c r="D9" s="28" t="str">
        <f t="shared" si="0"/>
        <v>Pass</v>
      </c>
    </row>
  </sheetData>
  <mergeCells count="1">
    <mergeCell ref="A1:D2"/>
  </mergeCells>
  <conditionalFormatting sqref="D4:D9">
    <cfRule type="containsText" dxfId="1" priority="1" operator="containsText" text="Check">
      <formula>NOT(ISERROR(SEARCH("Check",D4)))</formula>
    </cfRule>
    <cfRule type="containsText" dxfId="0" priority="2" operator="containsText" text="Pass">
      <formula>NOT(ISERROR(SEARCH("Pass",D4)))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B6281-DDE3-436A-A44F-D2864DB055EA}">
  <sheetPr codeName="Sheet4"/>
  <dimension ref="A1:M121"/>
  <sheetViews>
    <sheetView showGridLines="0" topLeftCell="A7" workbookViewId="0">
      <pane xSplit="2" ySplit="1" topLeftCell="C8" activePane="bottomRight" state="frozen"/>
      <selection activeCell="D21" sqref="A2:M121"/>
      <selection pane="topRight" activeCell="A7" sqref="A7"/>
      <selection pane="bottomLeft" activeCell="A7" sqref="A7"/>
      <selection pane="bottomRight" activeCell="A6" sqref="A6"/>
    </sheetView>
  </sheetViews>
  <sheetFormatPr defaultRowHeight="14.5" x14ac:dyDescent="0.35"/>
  <cols>
    <col min="1" max="1" width="10.54296875" bestFit="1" customWidth="1"/>
    <col min="2" max="2" width="10" bestFit="1" customWidth="1"/>
    <col min="3" max="3" width="17.90625" bestFit="1" customWidth="1"/>
    <col min="4" max="4" width="24.08984375" bestFit="1" customWidth="1"/>
    <col min="5" max="5" width="13.90625" bestFit="1" customWidth="1"/>
    <col min="6" max="6" width="17" bestFit="1" customWidth="1"/>
    <col min="7" max="7" width="24" bestFit="1" customWidth="1"/>
    <col min="8" max="8" width="12.36328125" bestFit="1" customWidth="1"/>
    <col min="9" max="9" width="11.90625" bestFit="1" customWidth="1"/>
    <col min="10" max="10" width="15.08984375" bestFit="1" customWidth="1"/>
    <col min="11" max="11" width="17.6328125" bestFit="1" customWidth="1"/>
    <col min="12" max="12" width="16" bestFit="1" customWidth="1"/>
    <col min="13" max="13" width="10.453125" bestFit="1" customWidth="1"/>
  </cols>
  <sheetData>
    <row r="1" spans="1:13" x14ac:dyDescent="0.35">
      <c r="A1" t="s">
        <v>30</v>
      </c>
      <c r="B1" t="s">
        <v>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111</v>
      </c>
    </row>
    <row r="2" spans="1:13" x14ac:dyDescent="0.35">
      <c r="A2" s="30">
        <v>45658</v>
      </c>
      <c r="B2" s="29" t="s">
        <v>8</v>
      </c>
      <c r="C2" s="29">
        <v>62933</v>
      </c>
      <c r="D2" s="29">
        <v>82.4</v>
      </c>
      <c r="E2" s="29">
        <v>5185781</v>
      </c>
      <c r="F2" s="29">
        <v>1247706</v>
      </c>
      <c r="G2" s="29">
        <v>156000</v>
      </c>
      <c r="H2" s="29">
        <v>3782075</v>
      </c>
      <c r="I2" s="29">
        <v>61200</v>
      </c>
      <c r="J2" s="29">
        <v>0.46989999999999998</v>
      </c>
      <c r="K2" s="29">
        <v>6</v>
      </c>
      <c r="L2" s="29">
        <v>0.9919</v>
      </c>
      <c r="M2" s="29" t="s">
        <v>113</v>
      </c>
    </row>
    <row r="3" spans="1:13" x14ac:dyDescent="0.35">
      <c r="A3" s="30">
        <v>45658</v>
      </c>
      <c r="B3" s="29" t="s">
        <v>13</v>
      </c>
      <c r="C3" s="29">
        <v>3160.7</v>
      </c>
      <c r="D3" s="29">
        <v>86.15</v>
      </c>
      <c r="E3" s="29">
        <v>272299</v>
      </c>
      <c r="F3" s="29">
        <v>106430</v>
      </c>
      <c r="G3" s="29">
        <v>43050</v>
      </c>
      <c r="H3" s="29">
        <v>122818</v>
      </c>
      <c r="I3" s="29">
        <v>8035</v>
      </c>
      <c r="J3" s="29">
        <v>5.6599999999999998E-2</v>
      </c>
      <c r="K3" s="29">
        <v>2</v>
      </c>
      <c r="L3" s="29">
        <v>0.99729999999999996</v>
      </c>
      <c r="M3" s="29" t="s">
        <v>113</v>
      </c>
    </row>
    <row r="4" spans="1:13" x14ac:dyDescent="0.35">
      <c r="A4" s="30">
        <v>45658</v>
      </c>
      <c r="B4" s="29" t="s">
        <v>17</v>
      </c>
      <c r="C4" s="29">
        <v>1670.1</v>
      </c>
      <c r="D4" s="29">
        <v>82.79</v>
      </c>
      <c r="E4" s="29">
        <v>138261</v>
      </c>
      <c r="F4" s="29">
        <v>64426</v>
      </c>
      <c r="G4" s="29">
        <v>30750</v>
      </c>
      <c r="H4" s="29">
        <v>43085</v>
      </c>
      <c r="I4" s="29">
        <v>8258</v>
      </c>
      <c r="J4" s="29">
        <v>5.3400000000000003E-2</v>
      </c>
      <c r="K4" s="29">
        <v>2</v>
      </c>
      <c r="L4" s="29">
        <v>0.99729999999999996</v>
      </c>
      <c r="M4" s="29" t="s">
        <v>113</v>
      </c>
    </row>
    <row r="5" spans="1:13" x14ac:dyDescent="0.35">
      <c r="A5" s="30">
        <v>45658</v>
      </c>
      <c r="B5" s="29" t="s">
        <v>20</v>
      </c>
      <c r="C5" s="29">
        <v>10528.6</v>
      </c>
      <c r="D5" s="29">
        <v>41.77</v>
      </c>
      <c r="E5" s="29">
        <v>439751</v>
      </c>
      <c r="F5" s="29">
        <v>311898</v>
      </c>
      <c r="G5" s="29">
        <v>67600</v>
      </c>
      <c r="H5" s="29">
        <v>60252</v>
      </c>
      <c r="I5" s="29">
        <v>185500</v>
      </c>
      <c r="J5" s="29">
        <v>0.2359</v>
      </c>
      <c r="K5" s="29">
        <v>18</v>
      </c>
      <c r="L5" s="29">
        <v>0.9758</v>
      </c>
      <c r="M5" s="29" t="s">
        <v>113</v>
      </c>
    </row>
    <row r="6" spans="1:13" x14ac:dyDescent="0.35">
      <c r="A6" s="30">
        <v>45658</v>
      </c>
      <c r="B6" s="29" t="s">
        <v>25</v>
      </c>
      <c r="C6" s="29">
        <v>1501</v>
      </c>
      <c r="D6" s="29">
        <v>117.48</v>
      </c>
      <c r="E6" s="29">
        <v>176343</v>
      </c>
      <c r="F6" s="29">
        <v>754744</v>
      </c>
      <c r="G6" s="29">
        <v>100700</v>
      </c>
      <c r="H6" s="29">
        <v>-679101</v>
      </c>
      <c r="I6" s="29">
        <v>676000</v>
      </c>
      <c r="J6" s="29">
        <v>0.1009</v>
      </c>
      <c r="K6" s="29">
        <v>24</v>
      </c>
      <c r="L6" s="29">
        <v>0.9677</v>
      </c>
      <c r="M6" s="29" t="s">
        <v>113</v>
      </c>
    </row>
    <row r="7" spans="1:13" x14ac:dyDescent="0.35">
      <c r="A7" s="30">
        <v>45689</v>
      </c>
      <c r="B7" s="29" t="s">
        <v>8</v>
      </c>
      <c r="C7" s="29">
        <v>57178.3</v>
      </c>
      <c r="D7" s="29">
        <v>79.180000000000007</v>
      </c>
      <c r="E7" s="29">
        <v>4527633</v>
      </c>
      <c r="F7" s="29">
        <v>1158840</v>
      </c>
      <c r="G7" s="29">
        <v>156000</v>
      </c>
      <c r="H7" s="29">
        <v>3212794</v>
      </c>
      <c r="I7" s="29">
        <v>61200</v>
      </c>
      <c r="J7" s="29">
        <v>0.47270000000000001</v>
      </c>
      <c r="K7" s="29">
        <v>6</v>
      </c>
      <c r="L7" s="29">
        <v>0.99109999999999998</v>
      </c>
      <c r="M7" s="29" t="s">
        <v>113</v>
      </c>
    </row>
    <row r="8" spans="1:13" x14ac:dyDescent="0.35">
      <c r="A8" s="30">
        <v>45689</v>
      </c>
      <c r="B8" s="29" t="s">
        <v>13</v>
      </c>
      <c r="C8" s="29">
        <v>3885.3</v>
      </c>
      <c r="D8" s="29">
        <v>79.61</v>
      </c>
      <c r="E8" s="29">
        <v>309293</v>
      </c>
      <c r="F8" s="29">
        <v>110349</v>
      </c>
      <c r="G8" s="29">
        <v>43050</v>
      </c>
      <c r="H8" s="29">
        <v>155894</v>
      </c>
      <c r="I8" s="29">
        <v>7910</v>
      </c>
      <c r="J8" s="29">
        <v>7.7100000000000002E-2</v>
      </c>
      <c r="K8" s="29">
        <v>8</v>
      </c>
      <c r="L8" s="29">
        <v>0.98809999999999998</v>
      </c>
      <c r="M8" s="29" t="s">
        <v>113</v>
      </c>
    </row>
    <row r="9" spans="1:13" x14ac:dyDescent="0.35">
      <c r="A9" s="30">
        <v>45689</v>
      </c>
      <c r="B9" s="29" t="s">
        <v>17</v>
      </c>
      <c r="C9" s="29">
        <v>2333</v>
      </c>
      <c r="D9" s="29">
        <v>81.31</v>
      </c>
      <c r="E9" s="29">
        <v>189690</v>
      </c>
      <c r="F9" s="29">
        <v>66027</v>
      </c>
      <c r="G9" s="29">
        <v>30750</v>
      </c>
      <c r="H9" s="29">
        <v>92913</v>
      </c>
      <c r="I9" s="29">
        <v>8917</v>
      </c>
      <c r="J9" s="29">
        <v>8.2699999999999996E-2</v>
      </c>
      <c r="K9" s="29">
        <v>8</v>
      </c>
      <c r="L9" s="29">
        <v>0.98809999999999998</v>
      </c>
      <c r="M9" s="29" t="s">
        <v>113</v>
      </c>
    </row>
    <row r="10" spans="1:13" x14ac:dyDescent="0.35">
      <c r="A10" s="30">
        <v>45689</v>
      </c>
      <c r="B10" s="29" t="s">
        <v>20</v>
      </c>
      <c r="C10" s="29">
        <v>10519.2</v>
      </c>
      <c r="D10" s="29">
        <v>41.5</v>
      </c>
      <c r="E10" s="29">
        <v>436589</v>
      </c>
      <c r="F10" s="29">
        <v>358729</v>
      </c>
      <c r="G10" s="29">
        <v>67600</v>
      </c>
      <c r="H10" s="29">
        <v>10261</v>
      </c>
      <c r="I10" s="29">
        <v>185500</v>
      </c>
      <c r="J10" s="29">
        <v>0.26090000000000002</v>
      </c>
      <c r="K10" s="29">
        <v>14</v>
      </c>
      <c r="L10" s="29">
        <v>0.97919999999999996</v>
      </c>
      <c r="M10" s="29" t="s">
        <v>113</v>
      </c>
    </row>
    <row r="11" spans="1:13" x14ac:dyDescent="0.35">
      <c r="A11" s="30">
        <v>45689</v>
      </c>
      <c r="B11" s="29" t="s">
        <v>25</v>
      </c>
      <c r="C11" s="29">
        <v>1553.9</v>
      </c>
      <c r="D11" s="29">
        <v>117.96</v>
      </c>
      <c r="E11" s="29">
        <v>183303</v>
      </c>
      <c r="F11" s="29">
        <v>753742</v>
      </c>
      <c r="G11" s="29">
        <v>100700</v>
      </c>
      <c r="H11" s="29">
        <v>-671138</v>
      </c>
      <c r="I11" s="29">
        <v>676000</v>
      </c>
      <c r="J11" s="29">
        <v>0.11559999999999999</v>
      </c>
      <c r="K11" s="29">
        <v>24</v>
      </c>
      <c r="L11" s="29">
        <v>0.96430000000000005</v>
      </c>
      <c r="M11" s="29" t="s">
        <v>113</v>
      </c>
    </row>
    <row r="12" spans="1:13" x14ac:dyDescent="0.35">
      <c r="A12" s="30">
        <v>45717</v>
      </c>
      <c r="B12" s="29" t="s">
        <v>8</v>
      </c>
      <c r="C12" s="29">
        <v>59753.4</v>
      </c>
      <c r="D12" s="29">
        <v>77.150000000000006</v>
      </c>
      <c r="E12" s="29">
        <v>4610246</v>
      </c>
      <c r="F12" s="29">
        <v>1215684</v>
      </c>
      <c r="G12" s="29">
        <v>156000</v>
      </c>
      <c r="H12" s="29">
        <v>3238562</v>
      </c>
      <c r="I12" s="29">
        <v>61200</v>
      </c>
      <c r="J12" s="29">
        <v>0.44619999999999999</v>
      </c>
      <c r="K12" s="29">
        <v>6</v>
      </c>
      <c r="L12" s="29">
        <v>0.9919</v>
      </c>
      <c r="M12" s="29" t="s">
        <v>113</v>
      </c>
    </row>
    <row r="13" spans="1:13" x14ac:dyDescent="0.35">
      <c r="A13" s="30">
        <v>45717</v>
      </c>
      <c r="B13" s="29" t="s">
        <v>13</v>
      </c>
      <c r="C13" s="29">
        <v>6698.1</v>
      </c>
      <c r="D13" s="29">
        <v>74.040000000000006</v>
      </c>
      <c r="E13" s="29">
        <v>495931</v>
      </c>
      <c r="F13" s="29">
        <v>120794</v>
      </c>
      <c r="G13" s="29">
        <v>43050</v>
      </c>
      <c r="H13" s="29">
        <v>332087</v>
      </c>
      <c r="I13" s="29">
        <v>28576</v>
      </c>
      <c r="J13" s="29">
        <v>0.12</v>
      </c>
      <c r="K13" s="29">
        <v>2</v>
      </c>
      <c r="L13" s="29">
        <v>0.99729999999999996</v>
      </c>
      <c r="M13" s="29" t="s">
        <v>113</v>
      </c>
    </row>
    <row r="14" spans="1:13" x14ac:dyDescent="0.35">
      <c r="A14" s="30">
        <v>45717</v>
      </c>
      <c r="B14" s="29" t="s">
        <v>17</v>
      </c>
      <c r="C14" s="29">
        <v>3677.2</v>
      </c>
      <c r="D14" s="29">
        <v>73.2</v>
      </c>
      <c r="E14" s="29">
        <v>269176</v>
      </c>
      <c r="F14" s="29">
        <v>71801</v>
      </c>
      <c r="G14" s="29">
        <v>30750</v>
      </c>
      <c r="H14" s="29">
        <v>166625</v>
      </c>
      <c r="I14" s="29">
        <v>31488</v>
      </c>
      <c r="J14" s="29">
        <v>0.1177</v>
      </c>
      <c r="K14" s="29">
        <v>4</v>
      </c>
      <c r="L14" s="29">
        <v>0.99460000000000004</v>
      </c>
      <c r="M14" s="29" t="s">
        <v>113</v>
      </c>
    </row>
    <row r="15" spans="1:13" x14ac:dyDescent="0.35">
      <c r="A15" s="30">
        <v>45717</v>
      </c>
      <c r="B15" s="29" t="s">
        <v>20</v>
      </c>
      <c r="C15" s="29">
        <v>10068.1</v>
      </c>
      <c r="D15" s="29">
        <v>34.909999999999997</v>
      </c>
      <c r="E15" s="29">
        <v>351426</v>
      </c>
      <c r="F15" s="29">
        <v>352551</v>
      </c>
      <c r="G15" s="29">
        <v>67600</v>
      </c>
      <c r="H15" s="29">
        <v>-68725</v>
      </c>
      <c r="I15" s="29">
        <v>185500</v>
      </c>
      <c r="J15" s="29">
        <v>0.22550000000000001</v>
      </c>
      <c r="K15" s="29">
        <v>22</v>
      </c>
      <c r="L15" s="29">
        <v>0.97040000000000004</v>
      </c>
      <c r="M15" s="29" t="s">
        <v>113</v>
      </c>
    </row>
    <row r="16" spans="1:13" x14ac:dyDescent="0.35">
      <c r="A16" s="30">
        <v>45717</v>
      </c>
      <c r="B16" s="29" t="s">
        <v>25</v>
      </c>
      <c r="C16" s="29">
        <v>1795</v>
      </c>
      <c r="D16" s="29">
        <v>116.62</v>
      </c>
      <c r="E16" s="29">
        <v>209323</v>
      </c>
      <c r="F16" s="29">
        <v>796998</v>
      </c>
      <c r="G16" s="29">
        <v>100700</v>
      </c>
      <c r="H16" s="29">
        <v>-688375</v>
      </c>
      <c r="I16" s="29">
        <v>850000</v>
      </c>
      <c r="J16" s="29">
        <v>0.1206</v>
      </c>
      <c r="K16" s="29">
        <v>30</v>
      </c>
      <c r="L16" s="29">
        <v>0.9597</v>
      </c>
      <c r="M16" s="29" t="s">
        <v>113</v>
      </c>
    </row>
    <row r="17" spans="1:13" x14ac:dyDescent="0.35">
      <c r="A17" s="30">
        <v>45748</v>
      </c>
      <c r="B17" s="29" t="s">
        <v>8</v>
      </c>
      <c r="C17" s="29">
        <v>45128.4</v>
      </c>
      <c r="D17" s="29">
        <v>70.5</v>
      </c>
      <c r="E17" s="29">
        <v>3181379</v>
      </c>
      <c r="F17" s="29">
        <v>1449132</v>
      </c>
      <c r="G17" s="29">
        <v>156000</v>
      </c>
      <c r="H17" s="29">
        <v>1576247</v>
      </c>
      <c r="I17" s="29">
        <v>287500</v>
      </c>
      <c r="J17" s="29">
        <v>0.34820000000000001</v>
      </c>
      <c r="K17" s="29">
        <v>79</v>
      </c>
      <c r="L17" s="29">
        <v>0.89029999999999998</v>
      </c>
      <c r="M17" s="29" t="s">
        <v>113</v>
      </c>
    </row>
    <row r="18" spans="1:13" x14ac:dyDescent="0.35">
      <c r="A18" s="30">
        <v>45748</v>
      </c>
      <c r="B18" s="29" t="s">
        <v>13</v>
      </c>
      <c r="C18" s="29">
        <v>9008.1</v>
      </c>
      <c r="D18" s="29">
        <v>67.900000000000006</v>
      </c>
      <c r="E18" s="29">
        <v>611655</v>
      </c>
      <c r="F18" s="29">
        <v>124408</v>
      </c>
      <c r="G18" s="29">
        <v>43050</v>
      </c>
      <c r="H18" s="29">
        <v>444197</v>
      </c>
      <c r="I18" s="29">
        <v>8821</v>
      </c>
      <c r="J18" s="29">
        <v>0.1668</v>
      </c>
      <c r="K18" s="29">
        <v>2</v>
      </c>
      <c r="L18" s="29">
        <v>0.99719999999999998</v>
      </c>
      <c r="M18" s="29" t="s">
        <v>113</v>
      </c>
    </row>
    <row r="19" spans="1:13" x14ac:dyDescent="0.35">
      <c r="A19" s="30">
        <v>45748</v>
      </c>
      <c r="B19" s="29" t="s">
        <v>17</v>
      </c>
      <c r="C19" s="29">
        <v>4745.3999999999996</v>
      </c>
      <c r="D19" s="29">
        <v>68.31</v>
      </c>
      <c r="E19" s="29">
        <v>324145</v>
      </c>
      <c r="F19" s="29">
        <v>75304</v>
      </c>
      <c r="G19" s="29">
        <v>30750</v>
      </c>
      <c r="H19" s="29">
        <v>218091</v>
      </c>
      <c r="I19" s="29">
        <v>8389</v>
      </c>
      <c r="J19" s="29">
        <v>0.15690000000000001</v>
      </c>
      <c r="K19" s="29">
        <v>4</v>
      </c>
      <c r="L19" s="29">
        <v>0.99439999999999995</v>
      </c>
      <c r="M19" s="29" t="s">
        <v>113</v>
      </c>
    </row>
    <row r="20" spans="1:13" x14ac:dyDescent="0.35">
      <c r="A20" s="30">
        <v>45748</v>
      </c>
      <c r="B20" s="29" t="s">
        <v>20</v>
      </c>
      <c r="C20" s="29">
        <v>9891.7999999999993</v>
      </c>
      <c r="D20" s="29">
        <v>35.44</v>
      </c>
      <c r="E20" s="29">
        <v>350561</v>
      </c>
      <c r="F20" s="29">
        <v>354382</v>
      </c>
      <c r="G20" s="29">
        <v>67600</v>
      </c>
      <c r="H20" s="29">
        <v>-71421</v>
      </c>
      <c r="I20" s="29">
        <v>185500</v>
      </c>
      <c r="J20" s="29">
        <v>0.22900000000000001</v>
      </c>
      <c r="K20" s="29">
        <v>14</v>
      </c>
      <c r="L20" s="29">
        <v>0.98060000000000003</v>
      </c>
      <c r="M20" s="29" t="s">
        <v>113</v>
      </c>
    </row>
    <row r="21" spans="1:13" x14ac:dyDescent="0.35">
      <c r="A21" s="30">
        <v>45748</v>
      </c>
      <c r="B21" s="29" t="s">
        <v>25</v>
      </c>
      <c r="C21" s="29">
        <v>2008.9</v>
      </c>
      <c r="D21" s="29">
        <v>116.82</v>
      </c>
      <c r="E21" s="29">
        <v>234681</v>
      </c>
      <c r="F21" s="29">
        <v>809386</v>
      </c>
      <c r="G21" s="29">
        <v>100700</v>
      </c>
      <c r="H21" s="29">
        <v>-675405</v>
      </c>
      <c r="I21" s="29">
        <v>850000</v>
      </c>
      <c r="J21" s="29">
        <v>0.13950000000000001</v>
      </c>
      <c r="K21" s="29">
        <v>42</v>
      </c>
      <c r="L21" s="29">
        <v>0.94169999999999998</v>
      </c>
      <c r="M21" s="29" t="s">
        <v>113</v>
      </c>
    </row>
    <row r="22" spans="1:13" x14ac:dyDescent="0.35">
      <c r="A22" s="30">
        <v>45778</v>
      </c>
      <c r="B22" s="29" t="s">
        <v>8</v>
      </c>
      <c r="C22" s="29">
        <v>39745.5</v>
      </c>
      <c r="D22" s="29">
        <v>64.66</v>
      </c>
      <c r="E22" s="29">
        <v>2569789</v>
      </c>
      <c r="F22" s="29">
        <v>1247623</v>
      </c>
      <c r="G22" s="29">
        <v>156000</v>
      </c>
      <c r="H22" s="29">
        <v>1166166</v>
      </c>
      <c r="I22" s="29">
        <v>69000</v>
      </c>
      <c r="J22" s="29">
        <v>0.29680000000000001</v>
      </c>
      <c r="K22" s="29">
        <v>52</v>
      </c>
      <c r="L22" s="29">
        <v>0.93010000000000004</v>
      </c>
      <c r="M22" s="29" t="s">
        <v>113</v>
      </c>
    </row>
    <row r="23" spans="1:13" x14ac:dyDescent="0.35">
      <c r="A23" s="30">
        <v>45778</v>
      </c>
      <c r="B23" s="29" t="s">
        <v>13</v>
      </c>
      <c r="C23" s="29">
        <v>11581.6</v>
      </c>
      <c r="D23" s="29">
        <v>59.69</v>
      </c>
      <c r="E23" s="29">
        <v>691288</v>
      </c>
      <c r="F23" s="29">
        <v>132913</v>
      </c>
      <c r="G23" s="29">
        <v>43050</v>
      </c>
      <c r="H23" s="29">
        <v>515325</v>
      </c>
      <c r="I23" s="29">
        <v>7616</v>
      </c>
      <c r="J23" s="29">
        <v>0.20760000000000001</v>
      </c>
      <c r="K23" s="29">
        <v>2</v>
      </c>
      <c r="L23" s="29">
        <v>0.99729999999999996</v>
      </c>
      <c r="M23" s="29" t="s">
        <v>113</v>
      </c>
    </row>
    <row r="24" spans="1:13" x14ac:dyDescent="0.35">
      <c r="A24" s="30">
        <v>45778</v>
      </c>
      <c r="B24" s="29" t="s">
        <v>17</v>
      </c>
      <c r="C24" s="29">
        <v>6352</v>
      </c>
      <c r="D24" s="29">
        <v>58</v>
      </c>
      <c r="E24" s="29">
        <v>368427</v>
      </c>
      <c r="F24" s="29">
        <v>79321</v>
      </c>
      <c r="G24" s="29">
        <v>30750</v>
      </c>
      <c r="H24" s="29">
        <v>258356</v>
      </c>
      <c r="I24" s="29">
        <v>8109</v>
      </c>
      <c r="J24" s="29">
        <v>0.20330000000000001</v>
      </c>
      <c r="K24" s="29">
        <v>6</v>
      </c>
      <c r="L24" s="29">
        <v>0.9919</v>
      </c>
      <c r="M24" s="29" t="s">
        <v>113</v>
      </c>
    </row>
    <row r="25" spans="1:13" x14ac:dyDescent="0.35">
      <c r="A25" s="30">
        <v>45778</v>
      </c>
      <c r="B25" s="29" t="s">
        <v>20</v>
      </c>
      <c r="C25" s="29">
        <v>10474.799999999999</v>
      </c>
      <c r="D25" s="29">
        <v>38.909999999999997</v>
      </c>
      <c r="E25" s="29">
        <v>407543</v>
      </c>
      <c r="F25" s="29">
        <v>311212</v>
      </c>
      <c r="G25" s="29">
        <v>67600</v>
      </c>
      <c r="H25" s="29">
        <v>28731</v>
      </c>
      <c r="I25" s="29">
        <v>185500</v>
      </c>
      <c r="J25" s="29">
        <v>0.23469999999999999</v>
      </c>
      <c r="K25" s="29">
        <v>6</v>
      </c>
      <c r="L25" s="29">
        <v>0.9919</v>
      </c>
      <c r="M25" s="29" t="s">
        <v>113</v>
      </c>
    </row>
    <row r="26" spans="1:13" x14ac:dyDescent="0.35">
      <c r="A26" s="30">
        <v>45778</v>
      </c>
      <c r="B26" s="29" t="s">
        <v>25</v>
      </c>
      <c r="C26" s="29">
        <v>2221.9</v>
      </c>
      <c r="D26" s="29">
        <v>115.52</v>
      </c>
      <c r="E26" s="29">
        <v>256675</v>
      </c>
      <c r="F26" s="29">
        <v>839253</v>
      </c>
      <c r="G26" s="29">
        <v>100700</v>
      </c>
      <c r="H26" s="29">
        <v>-683278</v>
      </c>
      <c r="I26" s="29">
        <v>850000</v>
      </c>
      <c r="J26" s="29">
        <v>0.14929999999999999</v>
      </c>
      <c r="K26" s="29">
        <v>59</v>
      </c>
      <c r="L26" s="29">
        <v>0.92069999999999996</v>
      </c>
      <c r="M26" s="29" t="s">
        <v>113</v>
      </c>
    </row>
    <row r="27" spans="1:13" x14ac:dyDescent="0.35">
      <c r="A27" s="30">
        <v>45809</v>
      </c>
      <c r="B27" s="29" t="s">
        <v>8</v>
      </c>
      <c r="C27" s="29">
        <v>36659</v>
      </c>
      <c r="D27" s="29">
        <v>58.69</v>
      </c>
      <c r="E27" s="29">
        <v>2151544</v>
      </c>
      <c r="F27" s="29">
        <v>1023322</v>
      </c>
      <c r="G27" s="29">
        <v>156000</v>
      </c>
      <c r="H27" s="29">
        <v>972222</v>
      </c>
      <c r="I27" s="29">
        <v>61200</v>
      </c>
      <c r="J27" s="29">
        <v>0.28289999999999998</v>
      </c>
      <c r="K27" s="29">
        <v>10</v>
      </c>
      <c r="L27" s="29">
        <v>0.98609999999999998</v>
      </c>
      <c r="M27" s="29" t="s">
        <v>113</v>
      </c>
    </row>
    <row r="28" spans="1:13" x14ac:dyDescent="0.35">
      <c r="A28" s="30">
        <v>45809</v>
      </c>
      <c r="B28" s="29" t="s">
        <v>13</v>
      </c>
      <c r="C28" s="29">
        <v>12833.9</v>
      </c>
      <c r="D28" s="29">
        <v>55.31</v>
      </c>
      <c r="E28" s="29">
        <v>709900</v>
      </c>
      <c r="F28" s="29">
        <v>137548</v>
      </c>
      <c r="G28" s="29">
        <v>43050</v>
      </c>
      <c r="H28" s="29">
        <v>529302</v>
      </c>
      <c r="I28" s="29">
        <v>7530</v>
      </c>
      <c r="J28" s="29">
        <v>0.23769999999999999</v>
      </c>
      <c r="K28" s="29">
        <v>4</v>
      </c>
      <c r="L28" s="29">
        <v>0.99439999999999995</v>
      </c>
      <c r="M28" s="29" t="s">
        <v>113</v>
      </c>
    </row>
    <row r="29" spans="1:13" x14ac:dyDescent="0.35">
      <c r="A29" s="30">
        <v>45809</v>
      </c>
      <c r="B29" s="29" t="s">
        <v>17</v>
      </c>
      <c r="C29" s="29">
        <v>7098.9</v>
      </c>
      <c r="D29" s="29">
        <v>54.48</v>
      </c>
      <c r="E29" s="29">
        <v>386713</v>
      </c>
      <c r="F29" s="29">
        <v>80205</v>
      </c>
      <c r="G29" s="29">
        <v>30750</v>
      </c>
      <c r="H29" s="29">
        <v>275758</v>
      </c>
      <c r="I29" s="29">
        <v>7958</v>
      </c>
      <c r="J29" s="29">
        <v>0.23480000000000001</v>
      </c>
      <c r="K29" s="29">
        <v>4</v>
      </c>
      <c r="L29" s="29">
        <v>0.99439999999999995</v>
      </c>
      <c r="M29" s="29" t="s">
        <v>113</v>
      </c>
    </row>
    <row r="30" spans="1:13" x14ac:dyDescent="0.35">
      <c r="A30" s="30">
        <v>45809</v>
      </c>
      <c r="B30" s="29" t="s">
        <v>20</v>
      </c>
      <c r="C30" s="29">
        <v>10789.8</v>
      </c>
      <c r="D30" s="29">
        <v>42.37</v>
      </c>
      <c r="E30" s="29">
        <v>457155</v>
      </c>
      <c r="F30" s="29">
        <v>313042</v>
      </c>
      <c r="G30" s="29">
        <v>67600</v>
      </c>
      <c r="H30" s="29">
        <v>76513</v>
      </c>
      <c r="I30" s="29">
        <v>210000</v>
      </c>
      <c r="J30" s="29">
        <v>0.24979999999999999</v>
      </c>
      <c r="K30" s="29">
        <v>6</v>
      </c>
      <c r="L30" s="29">
        <v>0.99170000000000003</v>
      </c>
      <c r="M30" s="29" t="s">
        <v>113</v>
      </c>
    </row>
    <row r="31" spans="1:13" x14ac:dyDescent="0.35">
      <c r="A31" s="30">
        <v>45809</v>
      </c>
      <c r="B31" s="29" t="s">
        <v>25</v>
      </c>
      <c r="C31" s="29">
        <v>2285.6</v>
      </c>
      <c r="D31" s="29">
        <v>117.07</v>
      </c>
      <c r="E31" s="29">
        <v>267570</v>
      </c>
      <c r="F31" s="29">
        <v>850277</v>
      </c>
      <c r="G31" s="29">
        <v>100700</v>
      </c>
      <c r="H31" s="29">
        <v>-683408</v>
      </c>
      <c r="I31" s="29">
        <v>676000</v>
      </c>
      <c r="J31" s="29">
        <v>0.15870000000000001</v>
      </c>
      <c r="K31" s="29">
        <v>24</v>
      </c>
      <c r="L31" s="29">
        <v>0.9667</v>
      </c>
      <c r="M31" s="29" t="s">
        <v>113</v>
      </c>
    </row>
    <row r="32" spans="1:13" x14ac:dyDescent="0.35">
      <c r="A32" s="30">
        <v>45839</v>
      </c>
      <c r="B32" s="29" t="s">
        <v>8</v>
      </c>
      <c r="C32" s="29">
        <v>39574.300000000003</v>
      </c>
      <c r="D32" s="29">
        <v>58.53</v>
      </c>
      <c r="E32" s="29">
        <v>2316204</v>
      </c>
      <c r="F32" s="29">
        <v>1016040</v>
      </c>
      <c r="G32" s="29">
        <v>156000</v>
      </c>
      <c r="H32" s="29">
        <v>1144164</v>
      </c>
      <c r="I32" s="29">
        <v>61200</v>
      </c>
      <c r="J32" s="29">
        <v>0.29549999999999998</v>
      </c>
      <c r="K32" s="29">
        <v>10</v>
      </c>
      <c r="L32" s="29">
        <v>0.98660000000000003</v>
      </c>
      <c r="M32" s="29" t="s">
        <v>113</v>
      </c>
    </row>
    <row r="33" spans="1:13" x14ac:dyDescent="0.35">
      <c r="A33" s="30">
        <v>45839</v>
      </c>
      <c r="B33" s="29" t="s">
        <v>13</v>
      </c>
      <c r="C33" s="29">
        <v>12659.8</v>
      </c>
      <c r="D33" s="29">
        <v>52.68</v>
      </c>
      <c r="E33" s="29">
        <v>666972</v>
      </c>
      <c r="F33" s="29">
        <v>138047</v>
      </c>
      <c r="G33" s="29">
        <v>43050</v>
      </c>
      <c r="H33" s="29">
        <v>485875</v>
      </c>
      <c r="I33" s="29">
        <v>8531</v>
      </c>
      <c r="J33" s="29">
        <v>0.22689999999999999</v>
      </c>
      <c r="K33" s="29">
        <v>2</v>
      </c>
      <c r="L33" s="29">
        <v>0.99729999999999996</v>
      </c>
      <c r="M33" s="29" t="s">
        <v>113</v>
      </c>
    </row>
    <row r="34" spans="1:13" x14ac:dyDescent="0.35">
      <c r="A34" s="30">
        <v>45839</v>
      </c>
      <c r="B34" s="29" t="s">
        <v>17</v>
      </c>
      <c r="C34" s="29">
        <v>7617.8</v>
      </c>
      <c r="D34" s="29">
        <v>52.57</v>
      </c>
      <c r="E34" s="29">
        <v>400500</v>
      </c>
      <c r="F34" s="29">
        <v>81277</v>
      </c>
      <c r="G34" s="29">
        <v>30750</v>
      </c>
      <c r="H34" s="29">
        <v>288473</v>
      </c>
      <c r="I34" s="29">
        <v>8416</v>
      </c>
      <c r="J34" s="29">
        <v>0.24379999999999999</v>
      </c>
      <c r="K34" s="29">
        <v>2</v>
      </c>
      <c r="L34" s="29">
        <v>0.99729999999999996</v>
      </c>
      <c r="M34" s="29" t="s">
        <v>113</v>
      </c>
    </row>
    <row r="35" spans="1:13" x14ac:dyDescent="0.35">
      <c r="A35" s="30">
        <v>45839</v>
      </c>
      <c r="B35" s="29" t="s">
        <v>20</v>
      </c>
      <c r="C35" s="29">
        <v>12433.2</v>
      </c>
      <c r="D35" s="29">
        <v>37.86</v>
      </c>
      <c r="E35" s="29">
        <v>470725</v>
      </c>
      <c r="F35" s="29">
        <v>314873</v>
      </c>
      <c r="G35" s="29">
        <v>67600</v>
      </c>
      <c r="H35" s="29">
        <v>88252</v>
      </c>
      <c r="I35" s="29">
        <v>210000</v>
      </c>
      <c r="J35" s="29">
        <v>0.27850000000000003</v>
      </c>
      <c r="K35" s="29">
        <v>18</v>
      </c>
      <c r="L35" s="29">
        <v>0.9758</v>
      </c>
      <c r="M35" s="29" t="s">
        <v>113</v>
      </c>
    </row>
    <row r="36" spans="1:13" x14ac:dyDescent="0.35">
      <c r="A36" s="30">
        <v>45839</v>
      </c>
      <c r="B36" s="29" t="s">
        <v>25</v>
      </c>
      <c r="C36" s="29">
        <v>2620.9</v>
      </c>
      <c r="D36" s="29">
        <v>118.89</v>
      </c>
      <c r="E36" s="29">
        <v>311585</v>
      </c>
      <c r="F36" s="29">
        <v>881507</v>
      </c>
      <c r="G36" s="29">
        <v>100700</v>
      </c>
      <c r="H36" s="29">
        <v>-670623</v>
      </c>
      <c r="I36" s="29">
        <v>676000</v>
      </c>
      <c r="J36" s="29">
        <v>0.17610000000000001</v>
      </c>
      <c r="K36" s="29">
        <v>30</v>
      </c>
      <c r="L36" s="29">
        <v>0.9597</v>
      </c>
      <c r="M36" s="29" t="s">
        <v>113</v>
      </c>
    </row>
    <row r="37" spans="1:13" x14ac:dyDescent="0.35">
      <c r="A37" s="30">
        <v>45870</v>
      </c>
      <c r="B37" s="29" t="s">
        <v>8</v>
      </c>
      <c r="C37" s="29">
        <v>40338.699999999997</v>
      </c>
      <c r="D37" s="29">
        <v>60.56</v>
      </c>
      <c r="E37" s="29">
        <v>2442879</v>
      </c>
      <c r="F37" s="29">
        <v>1041805</v>
      </c>
      <c r="G37" s="29">
        <v>156000</v>
      </c>
      <c r="H37" s="29">
        <v>1245073</v>
      </c>
      <c r="I37" s="29">
        <v>61200</v>
      </c>
      <c r="J37" s="29">
        <v>0.30120000000000002</v>
      </c>
      <c r="K37" s="29">
        <v>10</v>
      </c>
      <c r="L37" s="29">
        <v>0.98660000000000003</v>
      </c>
      <c r="M37" s="29" t="s">
        <v>113</v>
      </c>
    </row>
    <row r="38" spans="1:13" x14ac:dyDescent="0.35">
      <c r="A38" s="30">
        <v>45870</v>
      </c>
      <c r="B38" s="29" t="s">
        <v>13</v>
      </c>
      <c r="C38" s="29">
        <v>11086.9</v>
      </c>
      <c r="D38" s="29">
        <v>54.51</v>
      </c>
      <c r="E38" s="29">
        <v>604403</v>
      </c>
      <c r="F38" s="29">
        <v>134550</v>
      </c>
      <c r="G38" s="29">
        <v>43050</v>
      </c>
      <c r="H38" s="29">
        <v>426803</v>
      </c>
      <c r="I38" s="29">
        <v>8301</v>
      </c>
      <c r="J38" s="29">
        <v>0.19869999999999999</v>
      </c>
      <c r="K38" s="29">
        <v>6</v>
      </c>
      <c r="L38" s="29">
        <v>0.9919</v>
      </c>
      <c r="M38" s="29" t="s">
        <v>113</v>
      </c>
    </row>
    <row r="39" spans="1:13" x14ac:dyDescent="0.35">
      <c r="A39" s="30">
        <v>45870</v>
      </c>
      <c r="B39" s="29" t="s">
        <v>17</v>
      </c>
      <c r="C39" s="29">
        <v>6541</v>
      </c>
      <c r="D39" s="29">
        <v>53.78</v>
      </c>
      <c r="E39" s="29">
        <v>351800</v>
      </c>
      <c r="F39" s="29">
        <v>80095</v>
      </c>
      <c r="G39" s="29">
        <v>30750</v>
      </c>
      <c r="H39" s="29">
        <v>240955</v>
      </c>
      <c r="I39" s="29">
        <v>7454</v>
      </c>
      <c r="J39" s="29">
        <v>0.20930000000000001</v>
      </c>
      <c r="K39" s="29">
        <v>2</v>
      </c>
      <c r="L39" s="29">
        <v>0.99729999999999996</v>
      </c>
      <c r="M39" s="29" t="s">
        <v>113</v>
      </c>
    </row>
    <row r="40" spans="1:13" x14ac:dyDescent="0.35">
      <c r="A40" s="30">
        <v>45870</v>
      </c>
      <c r="B40" s="29" t="s">
        <v>20</v>
      </c>
      <c r="C40" s="29">
        <v>11548.3</v>
      </c>
      <c r="D40" s="29">
        <v>37.71</v>
      </c>
      <c r="E40" s="29">
        <v>435449</v>
      </c>
      <c r="F40" s="29">
        <v>316703</v>
      </c>
      <c r="G40" s="29">
        <v>67600</v>
      </c>
      <c r="H40" s="29">
        <v>51146</v>
      </c>
      <c r="I40" s="29">
        <v>185500</v>
      </c>
      <c r="J40" s="29">
        <v>0.25869999999999999</v>
      </c>
      <c r="K40" s="29">
        <v>14</v>
      </c>
      <c r="L40" s="29">
        <v>0.98119999999999996</v>
      </c>
      <c r="M40" s="29" t="s">
        <v>113</v>
      </c>
    </row>
    <row r="41" spans="1:13" x14ac:dyDescent="0.35">
      <c r="A41" s="30">
        <v>45870</v>
      </c>
      <c r="B41" s="29" t="s">
        <v>25</v>
      </c>
      <c r="C41" s="29">
        <v>2527.1999999999998</v>
      </c>
      <c r="D41" s="29">
        <v>116.03</v>
      </c>
      <c r="E41" s="29">
        <v>293234</v>
      </c>
      <c r="F41" s="29">
        <v>902634</v>
      </c>
      <c r="G41" s="29">
        <v>100700</v>
      </c>
      <c r="H41" s="29">
        <v>-710100</v>
      </c>
      <c r="I41" s="29">
        <v>676000</v>
      </c>
      <c r="J41" s="29">
        <v>0.16980000000000001</v>
      </c>
      <c r="K41" s="29">
        <v>42</v>
      </c>
      <c r="L41" s="29">
        <v>0.94350000000000001</v>
      </c>
      <c r="M41" s="29" t="s">
        <v>113</v>
      </c>
    </row>
    <row r="42" spans="1:13" x14ac:dyDescent="0.35">
      <c r="A42" s="30">
        <v>45901</v>
      </c>
      <c r="B42" s="29" t="s">
        <v>8</v>
      </c>
      <c r="C42" s="29">
        <v>46217.4</v>
      </c>
      <c r="D42" s="29">
        <v>68.39</v>
      </c>
      <c r="E42" s="29">
        <v>3160938</v>
      </c>
      <c r="F42" s="29">
        <v>1111051</v>
      </c>
      <c r="G42" s="29">
        <v>156000</v>
      </c>
      <c r="H42" s="29">
        <v>1893887</v>
      </c>
      <c r="I42" s="29">
        <v>61200</v>
      </c>
      <c r="J42" s="29">
        <v>0.35659999999999997</v>
      </c>
      <c r="K42" s="29">
        <v>6</v>
      </c>
      <c r="L42" s="29">
        <v>0.99170000000000003</v>
      </c>
      <c r="M42" s="29" t="s">
        <v>113</v>
      </c>
    </row>
    <row r="43" spans="1:13" x14ac:dyDescent="0.35">
      <c r="A43" s="30">
        <v>45901</v>
      </c>
      <c r="B43" s="29" t="s">
        <v>13</v>
      </c>
      <c r="C43" s="29">
        <v>8211.4</v>
      </c>
      <c r="D43" s="29">
        <v>66.22</v>
      </c>
      <c r="E43" s="29">
        <v>543772</v>
      </c>
      <c r="F43" s="29">
        <v>124778</v>
      </c>
      <c r="G43" s="29">
        <v>43050</v>
      </c>
      <c r="H43" s="29">
        <v>375944</v>
      </c>
      <c r="I43" s="29">
        <v>28166</v>
      </c>
      <c r="J43" s="29">
        <v>0.15210000000000001</v>
      </c>
      <c r="K43" s="29">
        <v>6</v>
      </c>
      <c r="L43" s="29">
        <v>0.99170000000000003</v>
      </c>
      <c r="M43" s="29" t="s">
        <v>113</v>
      </c>
    </row>
    <row r="44" spans="1:13" x14ac:dyDescent="0.35">
      <c r="A44" s="30">
        <v>45901</v>
      </c>
      <c r="B44" s="29" t="s">
        <v>17</v>
      </c>
      <c r="C44" s="29">
        <v>4650.1000000000004</v>
      </c>
      <c r="D44" s="29">
        <v>65.97</v>
      </c>
      <c r="E44" s="29">
        <v>306782</v>
      </c>
      <c r="F44" s="29">
        <v>74758</v>
      </c>
      <c r="G44" s="29">
        <v>30750</v>
      </c>
      <c r="H44" s="29">
        <v>201274</v>
      </c>
      <c r="I44" s="29">
        <v>27925</v>
      </c>
      <c r="J44" s="29">
        <v>0.15379999999999999</v>
      </c>
      <c r="K44" s="29">
        <v>6</v>
      </c>
      <c r="L44" s="29">
        <v>0.99170000000000003</v>
      </c>
      <c r="M44" s="29" t="s">
        <v>113</v>
      </c>
    </row>
    <row r="45" spans="1:13" x14ac:dyDescent="0.35">
      <c r="A45" s="30">
        <v>45901</v>
      </c>
      <c r="B45" s="29" t="s">
        <v>20</v>
      </c>
      <c r="C45" s="29">
        <v>12973.3</v>
      </c>
      <c r="D45" s="29">
        <v>42.75</v>
      </c>
      <c r="E45" s="29">
        <v>554551</v>
      </c>
      <c r="F45" s="29">
        <v>318534</v>
      </c>
      <c r="G45" s="29">
        <v>67600</v>
      </c>
      <c r="H45" s="29">
        <v>168418</v>
      </c>
      <c r="I45" s="29">
        <v>74200</v>
      </c>
      <c r="J45" s="29">
        <v>0.30030000000000001</v>
      </c>
      <c r="K45" s="29">
        <v>18</v>
      </c>
      <c r="L45" s="29">
        <v>0.97499999999999998</v>
      </c>
      <c r="M45" s="29" t="s">
        <v>113</v>
      </c>
    </row>
    <row r="46" spans="1:13" x14ac:dyDescent="0.35">
      <c r="A46" s="30">
        <v>45901</v>
      </c>
      <c r="B46" s="29" t="s">
        <v>25</v>
      </c>
      <c r="C46" s="29">
        <v>2689.7</v>
      </c>
      <c r="D46" s="29">
        <v>116.45</v>
      </c>
      <c r="E46" s="29">
        <v>313223</v>
      </c>
      <c r="F46" s="29">
        <v>911614</v>
      </c>
      <c r="G46" s="29">
        <v>100700</v>
      </c>
      <c r="H46" s="29">
        <v>-699092</v>
      </c>
      <c r="I46" s="29">
        <v>676000</v>
      </c>
      <c r="J46" s="29">
        <v>0.18679999999999999</v>
      </c>
      <c r="K46" s="29">
        <v>24</v>
      </c>
      <c r="L46" s="29">
        <v>0.9667</v>
      </c>
      <c r="M46" s="29" t="s">
        <v>113</v>
      </c>
    </row>
    <row r="47" spans="1:13" x14ac:dyDescent="0.35">
      <c r="A47" s="30">
        <v>45931</v>
      </c>
      <c r="B47" s="29" t="s">
        <v>8</v>
      </c>
      <c r="C47" s="29">
        <v>52772.7</v>
      </c>
      <c r="D47" s="29">
        <v>74.81</v>
      </c>
      <c r="E47" s="29">
        <v>3947899</v>
      </c>
      <c r="F47" s="29">
        <v>1270696</v>
      </c>
      <c r="G47" s="29">
        <v>156000</v>
      </c>
      <c r="H47" s="29">
        <v>2521203</v>
      </c>
      <c r="I47" s="29">
        <v>255000</v>
      </c>
      <c r="J47" s="29">
        <v>0.39410000000000001</v>
      </c>
      <c r="K47" s="29">
        <v>20</v>
      </c>
      <c r="L47" s="29">
        <v>0.97309999999999997</v>
      </c>
      <c r="M47" s="29" t="s">
        <v>113</v>
      </c>
    </row>
    <row r="48" spans="1:13" x14ac:dyDescent="0.35">
      <c r="A48" s="30">
        <v>45931</v>
      </c>
      <c r="B48" s="29" t="s">
        <v>13</v>
      </c>
      <c r="C48" s="29">
        <v>5801.5</v>
      </c>
      <c r="D48" s="29">
        <v>73.12</v>
      </c>
      <c r="E48" s="29">
        <v>424229</v>
      </c>
      <c r="F48" s="29">
        <v>118326</v>
      </c>
      <c r="G48" s="29">
        <v>43050</v>
      </c>
      <c r="H48" s="29">
        <v>262854</v>
      </c>
      <c r="I48" s="29">
        <v>8069</v>
      </c>
      <c r="J48" s="29">
        <v>0.104</v>
      </c>
      <c r="K48" s="29">
        <v>2</v>
      </c>
      <c r="L48" s="29">
        <v>0.99729999999999996</v>
      </c>
      <c r="M48" s="29" t="s">
        <v>113</v>
      </c>
    </row>
    <row r="49" spans="1:13" x14ac:dyDescent="0.35">
      <c r="A49" s="30">
        <v>45931</v>
      </c>
      <c r="B49" s="29" t="s">
        <v>17</v>
      </c>
      <c r="C49" s="29">
        <v>3174.2</v>
      </c>
      <c r="D49" s="29">
        <v>76.5</v>
      </c>
      <c r="E49" s="29">
        <v>242820</v>
      </c>
      <c r="F49" s="29">
        <v>70040</v>
      </c>
      <c r="G49" s="29">
        <v>30750</v>
      </c>
      <c r="H49" s="29">
        <v>142029</v>
      </c>
      <c r="I49" s="29">
        <v>8910</v>
      </c>
      <c r="J49" s="29">
        <v>0.1016</v>
      </c>
      <c r="K49" s="29">
        <v>2</v>
      </c>
      <c r="L49" s="29">
        <v>0.99729999999999996</v>
      </c>
      <c r="M49" s="29" t="s">
        <v>113</v>
      </c>
    </row>
    <row r="50" spans="1:13" x14ac:dyDescent="0.35">
      <c r="A50" s="30">
        <v>45931</v>
      </c>
      <c r="B50" s="29" t="s">
        <v>20</v>
      </c>
      <c r="C50" s="29">
        <v>13946.7</v>
      </c>
      <c r="D50" s="29">
        <v>45</v>
      </c>
      <c r="E50" s="29">
        <v>627569</v>
      </c>
      <c r="F50" s="29">
        <v>320364</v>
      </c>
      <c r="G50" s="29">
        <v>67600</v>
      </c>
      <c r="H50" s="29">
        <v>239605</v>
      </c>
      <c r="I50" s="29">
        <v>74200</v>
      </c>
      <c r="J50" s="29">
        <v>0.31240000000000001</v>
      </c>
      <c r="K50" s="29">
        <v>10</v>
      </c>
      <c r="L50" s="29">
        <v>0.98660000000000003</v>
      </c>
      <c r="M50" s="29" t="s">
        <v>113</v>
      </c>
    </row>
    <row r="51" spans="1:13" x14ac:dyDescent="0.35">
      <c r="A51" s="30">
        <v>45931</v>
      </c>
      <c r="B51" s="29" t="s">
        <v>25</v>
      </c>
      <c r="C51" s="29">
        <v>2936.6</v>
      </c>
      <c r="D51" s="29">
        <v>117.04</v>
      </c>
      <c r="E51" s="29">
        <v>343689</v>
      </c>
      <c r="F51" s="29">
        <v>944889</v>
      </c>
      <c r="G51" s="29">
        <v>100700</v>
      </c>
      <c r="H51" s="29">
        <v>-701899</v>
      </c>
      <c r="I51" s="29">
        <v>676000</v>
      </c>
      <c r="J51" s="29">
        <v>0.1973</v>
      </c>
      <c r="K51" s="29">
        <v>42</v>
      </c>
      <c r="L51" s="29">
        <v>0.94350000000000001</v>
      </c>
      <c r="M51" s="29" t="s">
        <v>113</v>
      </c>
    </row>
    <row r="52" spans="1:13" x14ac:dyDescent="0.35">
      <c r="A52" s="30">
        <v>45962</v>
      </c>
      <c r="B52" s="29" t="s">
        <v>8</v>
      </c>
      <c r="C52" s="29">
        <v>55148.4</v>
      </c>
      <c r="D52" s="29">
        <v>77.290000000000006</v>
      </c>
      <c r="E52" s="29">
        <v>4262381</v>
      </c>
      <c r="F52" s="29">
        <v>1357553</v>
      </c>
      <c r="G52" s="29">
        <v>156000</v>
      </c>
      <c r="H52" s="29">
        <v>2748828</v>
      </c>
      <c r="I52" s="29">
        <v>69000</v>
      </c>
      <c r="J52" s="29">
        <v>0.42549999999999999</v>
      </c>
      <c r="K52" s="29">
        <v>42</v>
      </c>
      <c r="L52" s="29">
        <v>0.94169999999999998</v>
      </c>
      <c r="M52" s="29" t="s">
        <v>113</v>
      </c>
    </row>
    <row r="53" spans="1:13" x14ac:dyDescent="0.35">
      <c r="A53" s="30">
        <v>45962</v>
      </c>
      <c r="B53" s="29" t="s">
        <v>13</v>
      </c>
      <c r="C53" s="29">
        <v>3438.8</v>
      </c>
      <c r="D53" s="29">
        <v>81.150000000000006</v>
      </c>
      <c r="E53" s="29">
        <v>279046</v>
      </c>
      <c r="F53" s="29">
        <v>109844</v>
      </c>
      <c r="G53" s="29">
        <v>43050</v>
      </c>
      <c r="H53" s="29">
        <v>126152</v>
      </c>
      <c r="I53" s="29">
        <v>8613</v>
      </c>
      <c r="J53" s="29">
        <v>6.3700000000000007E-2</v>
      </c>
      <c r="K53" s="29">
        <v>10</v>
      </c>
      <c r="L53" s="29">
        <v>0.98609999999999998</v>
      </c>
      <c r="M53" s="29" t="s">
        <v>113</v>
      </c>
    </row>
    <row r="54" spans="1:13" x14ac:dyDescent="0.35">
      <c r="A54" s="30">
        <v>45962</v>
      </c>
      <c r="B54" s="29" t="s">
        <v>17</v>
      </c>
      <c r="C54" s="29">
        <v>1900.5</v>
      </c>
      <c r="D54" s="29">
        <v>79.2</v>
      </c>
      <c r="E54" s="29">
        <v>150521</v>
      </c>
      <c r="F54" s="29">
        <v>65897</v>
      </c>
      <c r="G54" s="29">
        <v>30750</v>
      </c>
      <c r="H54" s="29">
        <v>53873</v>
      </c>
      <c r="I54" s="29">
        <v>8287</v>
      </c>
      <c r="J54" s="29">
        <v>6.2799999999999995E-2</v>
      </c>
      <c r="K54" s="29">
        <v>10</v>
      </c>
      <c r="L54" s="29">
        <v>0.98609999999999998</v>
      </c>
      <c r="M54" s="29" t="s">
        <v>113</v>
      </c>
    </row>
    <row r="55" spans="1:13" x14ac:dyDescent="0.35">
      <c r="A55" s="30">
        <v>45962</v>
      </c>
      <c r="B55" s="29" t="s">
        <v>20</v>
      </c>
      <c r="C55" s="29">
        <v>15176.6</v>
      </c>
      <c r="D55" s="29">
        <v>50.49</v>
      </c>
      <c r="E55" s="29">
        <v>766295</v>
      </c>
      <c r="F55" s="29">
        <v>330202</v>
      </c>
      <c r="G55" s="29">
        <v>67600</v>
      </c>
      <c r="H55" s="29">
        <v>368492</v>
      </c>
      <c r="I55" s="29">
        <v>74200</v>
      </c>
      <c r="J55" s="29">
        <v>0.3513</v>
      </c>
      <c r="K55" s="29">
        <v>6</v>
      </c>
      <c r="L55" s="29">
        <v>0.99170000000000003</v>
      </c>
      <c r="M55" s="29" t="s">
        <v>113</v>
      </c>
    </row>
    <row r="56" spans="1:13" x14ac:dyDescent="0.35">
      <c r="A56" s="30">
        <v>45962</v>
      </c>
      <c r="B56" s="29" t="s">
        <v>25</v>
      </c>
      <c r="C56" s="29">
        <v>2874.9</v>
      </c>
      <c r="D56" s="29">
        <v>117.02</v>
      </c>
      <c r="E56" s="29">
        <v>336418</v>
      </c>
      <c r="F56" s="29">
        <v>952506</v>
      </c>
      <c r="G56" s="29">
        <v>100700</v>
      </c>
      <c r="H56" s="29">
        <v>-716788</v>
      </c>
      <c r="I56" s="29">
        <v>676000</v>
      </c>
      <c r="J56" s="29">
        <v>0.1996</v>
      </c>
      <c r="K56" s="29">
        <v>53</v>
      </c>
      <c r="L56" s="29">
        <v>0.9264</v>
      </c>
      <c r="M56" s="29" t="s">
        <v>113</v>
      </c>
    </row>
    <row r="57" spans="1:13" x14ac:dyDescent="0.35">
      <c r="A57" s="30">
        <v>45992</v>
      </c>
      <c r="B57" s="29" t="s">
        <v>8</v>
      </c>
      <c r="C57" s="29">
        <v>70531.399999999994</v>
      </c>
      <c r="D57" s="29">
        <v>83.03</v>
      </c>
      <c r="E57" s="29">
        <v>5855922</v>
      </c>
      <c r="F57" s="29">
        <v>1256702</v>
      </c>
      <c r="G57" s="29">
        <v>156000</v>
      </c>
      <c r="H57" s="29">
        <v>4443220</v>
      </c>
      <c r="I57" s="29">
        <v>61200</v>
      </c>
      <c r="J57" s="29">
        <v>0.52669999999999995</v>
      </c>
      <c r="K57" s="29">
        <v>6</v>
      </c>
      <c r="L57" s="29">
        <v>0.9919</v>
      </c>
      <c r="M57" s="29" t="s">
        <v>113</v>
      </c>
    </row>
    <row r="58" spans="1:13" x14ac:dyDescent="0.35">
      <c r="A58" s="30">
        <v>45992</v>
      </c>
      <c r="B58" s="29" t="s">
        <v>13</v>
      </c>
      <c r="C58" s="29">
        <v>2873</v>
      </c>
      <c r="D58" s="29">
        <v>84.75</v>
      </c>
      <c r="E58" s="29">
        <v>243480</v>
      </c>
      <c r="F58" s="29">
        <v>105628</v>
      </c>
      <c r="G58" s="29">
        <v>43050</v>
      </c>
      <c r="H58" s="29">
        <v>94801</v>
      </c>
      <c r="I58" s="29">
        <v>8784</v>
      </c>
      <c r="J58" s="29">
        <v>5.1499999999999997E-2</v>
      </c>
      <c r="K58" s="29">
        <v>2</v>
      </c>
      <c r="L58" s="29">
        <v>0.99729999999999996</v>
      </c>
      <c r="M58" s="29" t="s">
        <v>113</v>
      </c>
    </row>
    <row r="59" spans="1:13" x14ac:dyDescent="0.35">
      <c r="A59" s="30">
        <v>45992</v>
      </c>
      <c r="B59" s="29" t="s">
        <v>17</v>
      </c>
      <c r="C59" s="29">
        <v>1593.9</v>
      </c>
      <c r="D59" s="29">
        <v>83.73</v>
      </c>
      <c r="E59" s="29">
        <v>133451</v>
      </c>
      <c r="F59" s="29">
        <v>62945</v>
      </c>
      <c r="G59" s="29">
        <v>30750</v>
      </c>
      <c r="H59" s="29">
        <v>39756</v>
      </c>
      <c r="I59" s="29">
        <v>8412</v>
      </c>
      <c r="J59" s="29">
        <v>5.0999999999999997E-2</v>
      </c>
      <c r="K59" s="29">
        <v>2</v>
      </c>
      <c r="L59" s="29">
        <v>0.99729999999999996</v>
      </c>
      <c r="M59" s="29" t="s">
        <v>113</v>
      </c>
    </row>
    <row r="60" spans="1:13" x14ac:dyDescent="0.35">
      <c r="A60" s="30">
        <v>45992</v>
      </c>
      <c r="B60" s="29" t="s">
        <v>20</v>
      </c>
      <c r="C60" s="29">
        <v>15760.7</v>
      </c>
      <c r="D60" s="29">
        <v>47.88</v>
      </c>
      <c r="E60" s="29">
        <v>754550</v>
      </c>
      <c r="F60" s="29">
        <v>332033</v>
      </c>
      <c r="G60" s="29">
        <v>67600</v>
      </c>
      <c r="H60" s="29">
        <v>354917</v>
      </c>
      <c r="I60" s="29">
        <v>74200</v>
      </c>
      <c r="J60" s="29">
        <v>0.35310000000000002</v>
      </c>
      <c r="K60" s="29">
        <v>14</v>
      </c>
      <c r="L60" s="29">
        <v>0.98119999999999996</v>
      </c>
      <c r="M60" s="29" t="s">
        <v>113</v>
      </c>
    </row>
    <row r="61" spans="1:13" x14ac:dyDescent="0.35">
      <c r="A61" s="30">
        <v>45992</v>
      </c>
      <c r="B61" s="29" t="s">
        <v>25</v>
      </c>
      <c r="C61" s="29">
        <v>3175.9</v>
      </c>
      <c r="D61" s="29">
        <v>118.01</v>
      </c>
      <c r="E61" s="29">
        <v>374787</v>
      </c>
      <c r="F61" s="29">
        <v>987143</v>
      </c>
      <c r="G61" s="29">
        <v>100700</v>
      </c>
      <c r="H61" s="29">
        <v>-713056</v>
      </c>
      <c r="I61" s="29">
        <v>676000</v>
      </c>
      <c r="J61" s="29">
        <v>0.21340000000000001</v>
      </c>
      <c r="K61" s="29">
        <v>30</v>
      </c>
      <c r="L61" s="29">
        <v>0.9597</v>
      </c>
      <c r="M61" s="29" t="s">
        <v>113</v>
      </c>
    </row>
    <row r="62" spans="1:13" x14ac:dyDescent="0.35">
      <c r="A62" s="30">
        <v>46023</v>
      </c>
      <c r="B62" s="29" t="s">
        <v>8</v>
      </c>
      <c r="C62" s="29">
        <v>65041.3</v>
      </c>
      <c r="D62" s="29">
        <v>85.07</v>
      </c>
      <c r="E62" s="29">
        <v>5532814</v>
      </c>
      <c r="F62" s="29">
        <v>1252241</v>
      </c>
      <c r="G62" s="29">
        <v>156000</v>
      </c>
      <c r="H62" s="29">
        <v>4124572</v>
      </c>
      <c r="I62" s="29">
        <v>61200</v>
      </c>
      <c r="J62" s="29">
        <v>0.48570000000000002</v>
      </c>
      <c r="K62" s="29">
        <v>10</v>
      </c>
      <c r="L62" s="29">
        <v>0.98660000000000003</v>
      </c>
      <c r="M62" s="29" t="s">
        <v>113</v>
      </c>
    </row>
    <row r="63" spans="1:13" x14ac:dyDescent="0.35">
      <c r="A63" s="30">
        <v>46023</v>
      </c>
      <c r="B63" s="29" t="s">
        <v>13</v>
      </c>
      <c r="C63" s="29">
        <v>3229.2</v>
      </c>
      <c r="D63" s="29">
        <v>82.8</v>
      </c>
      <c r="E63" s="29">
        <v>267367</v>
      </c>
      <c r="F63" s="29">
        <v>106186</v>
      </c>
      <c r="G63" s="29">
        <v>43050</v>
      </c>
      <c r="H63" s="29">
        <v>118131</v>
      </c>
      <c r="I63" s="29">
        <v>8354</v>
      </c>
      <c r="J63" s="29">
        <v>5.79E-2</v>
      </c>
      <c r="K63" s="29">
        <v>4</v>
      </c>
      <c r="L63" s="29">
        <v>0.99460000000000004</v>
      </c>
      <c r="M63" s="29" t="s">
        <v>113</v>
      </c>
    </row>
    <row r="64" spans="1:13" x14ac:dyDescent="0.35">
      <c r="A64" s="30">
        <v>46023</v>
      </c>
      <c r="B64" s="29" t="s">
        <v>17</v>
      </c>
      <c r="C64" s="29">
        <v>1666.6</v>
      </c>
      <c r="D64" s="29">
        <v>79.260000000000005</v>
      </c>
      <c r="E64" s="29">
        <v>132098</v>
      </c>
      <c r="F64" s="29">
        <v>63794</v>
      </c>
      <c r="G64" s="29">
        <v>30750</v>
      </c>
      <c r="H64" s="29">
        <v>37554</v>
      </c>
      <c r="I64" s="29">
        <v>8853</v>
      </c>
      <c r="J64" s="29">
        <v>5.33E-2</v>
      </c>
      <c r="K64" s="29">
        <v>2</v>
      </c>
      <c r="L64" s="29">
        <v>0.99729999999999996</v>
      </c>
      <c r="M64" s="29" t="s">
        <v>113</v>
      </c>
    </row>
    <row r="65" spans="1:13" x14ac:dyDescent="0.35">
      <c r="A65" s="30">
        <v>46023</v>
      </c>
      <c r="B65" s="29" t="s">
        <v>20</v>
      </c>
      <c r="C65" s="29">
        <v>16969.3</v>
      </c>
      <c r="D65" s="29">
        <v>53.32</v>
      </c>
      <c r="E65" s="29">
        <v>904889</v>
      </c>
      <c r="F65" s="29">
        <v>321723</v>
      </c>
      <c r="G65" s="29">
        <v>67600</v>
      </c>
      <c r="H65" s="29">
        <v>515567</v>
      </c>
      <c r="I65" s="29">
        <v>74200</v>
      </c>
      <c r="J65" s="29">
        <v>0.38009999999999999</v>
      </c>
      <c r="K65" s="29">
        <v>14</v>
      </c>
      <c r="L65" s="29">
        <v>0.98119999999999996</v>
      </c>
      <c r="M65" s="29" t="s">
        <v>113</v>
      </c>
    </row>
    <row r="66" spans="1:13" x14ac:dyDescent="0.35">
      <c r="A66" s="30">
        <v>46023</v>
      </c>
      <c r="B66" s="29" t="s">
        <v>25</v>
      </c>
      <c r="C66" s="29">
        <v>4225.7</v>
      </c>
      <c r="D66" s="29">
        <v>116.86</v>
      </c>
      <c r="E66" s="29">
        <v>493810</v>
      </c>
      <c r="F66" s="29">
        <v>967397</v>
      </c>
      <c r="G66" s="29">
        <v>100700</v>
      </c>
      <c r="H66" s="29">
        <v>-574287</v>
      </c>
      <c r="I66" s="29">
        <v>483000</v>
      </c>
      <c r="J66" s="29">
        <v>0.28399999999999997</v>
      </c>
      <c r="K66" s="29">
        <v>36</v>
      </c>
      <c r="L66" s="29">
        <v>0.9516</v>
      </c>
      <c r="M66" s="29" t="s">
        <v>113</v>
      </c>
    </row>
    <row r="67" spans="1:13" x14ac:dyDescent="0.35">
      <c r="A67" s="30">
        <v>46054</v>
      </c>
      <c r="B67" s="29" t="s">
        <v>8</v>
      </c>
      <c r="C67" s="29">
        <v>54611</v>
      </c>
      <c r="D67" s="29">
        <v>80.72</v>
      </c>
      <c r="E67" s="29">
        <v>4407942</v>
      </c>
      <c r="F67" s="29">
        <v>1319164</v>
      </c>
      <c r="G67" s="29">
        <v>156000</v>
      </c>
      <c r="H67" s="29">
        <v>2932778</v>
      </c>
      <c r="I67" s="29">
        <v>69000</v>
      </c>
      <c r="J67" s="29">
        <v>0.45150000000000001</v>
      </c>
      <c r="K67" s="29">
        <v>34</v>
      </c>
      <c r="L67" s="29">
        <v>0.94940000000000002</v>
      </c>
      <c r="M67" s="29" t="s">
        <v>113</v>
      </c>
    </row>
    <row r="68" spans="1:13" x14ac:dyDescent="0.35">
      <c r="A68" s="30">
        <v>46054</v>
      </c>
      <c r="B68" s="29" t="s">
        <v>13</v>
      </c>
      <c r="C68" s="29">
        <v>4231.3</v>
      </c>
      <c r="D68" s="29">
        <v>75.16</v>
      </c>
      <c r="E68" s="29">
        <v>318027</v>
      </c>
      <c r="F68" s="29">
        <v>109562</v>
      </c>
      <c r="G68" s="29">
        <v>43050</v>
      </c>
      <c r="H68" s="29">
        <v>165415</v>
      </c>
      <c r="I68" s="29">
        <v>7531</v>
      </c>
      <c r="J68" s="29">
        <v>8.4000000000000005E-2</v>
      </c>
      <c r="K68" s="29">
        <v>6</v>
      </c>
      <c r="L68" s="29">
        <v>0.99109999999999998</v>
      </c>
      <c r="M68" s="29" t="s">
        <v>113</v>
      </c>
    </row>
    <row r="69" spans="1:13" x14ac:dyDescent="0.35">
      <c r="A69" s="30">
        <v>46054</v>
      </c>
      <c r="B69" s="29" t="s">
        <v>17</v>
      </c>
      <c r="C69" s="29">
        <v>2220.4</v>
      </c>
      <c r="D69" s="29">
        <v>77.349999999999994</v>
      </c>
      <c r="E69" s="29">
        <v>171751</v>
      </c>
      <c r="F69" s="29">
        <v>66376</v>
      </c>
      <c r="G69" s="29">
        <v>30750</v>
      </c>
      <c r="H69" s="29">
        <v>74625</v>
      </c>
      <c r="I69" s="29">
        <v>7686</v>
      </c>
      <c r="J69" s="29">
        <v>7.8700000000000006E-2</v>
      </c>
      <c r="K69" s="29">
        <v>6</v>
      </c>
      <c r="L69" s="29">
        <v>0.99109999999999998</v>
      </c>
      <c r="M69" s="29" t="s">
        <v>113</v>
      </c>
    </row>
    <row r="70" spans="1:13" x14ac:dyDescent="0.35">
      <c r="A70" s="30">
        <v>46054</v>
      </c>
      <c r="B70" s="29" t="s">
        <v>20</v>
      </c>
      <c r="C70" s="29">
        <v>17015.7</v>
      </c>
      <c r="D70" s="29">
        <v>49.13</v>
      </c>
      <c r="E70" s="29">
        <v>836021</v>
      </c>
      <c r="F70" s="29">
        <v>323487</v>
      </c>
      <c r="G70" s="29">
        <v>67600</v>
      </c>
      <c r="H70" s="29">
        <v>444935</v>
      </c>
      <c r="I70" s="29">
        <v>74200</v>
      </c>
      <c r="J70" s="29">
        <v>0.42199999999999999</v>
      </c>
      <c r="K70" s="29">
        <v>18</v>
      </c>
      <c r="L70" s="29">
        <v>0.97319999999999995</v>
      </c>
      <c r="M70" s="29" t="s">
        <v>113</v>
      </c>
    </row>
    <row r="71" spans="1:13" x14ac:dyDescent="0.35">
      <c r="A71" s="30">
        <v>46054</v>
      </c>
      <c r="B71" s="29" t="s">
        <v>25</v>
      </c>
      <c r="C71" s="29">
        <v>3976.5</v>
      </c>
      <c r="D71" s="29">
        <v>118.8</v>
      </c>
      <c r="E71" s="29">
        <v>472407</v>
      </c>
      <c r="F71" s="29">
        <v>942960</v>
      </c>
      <c r="G71" s="29">
        <v>100700</v>
      </c>
      <c r="H71" s="29">
        <v>-571254</v>
      </c>
      <c r="I71" s="29">
        <v>483000</v>
      </c>
      <c r="J71" s="29">
        <v>0.2959</v>
      </c>
      <c r="K71" s="29">
        <v>24</v>
      </c>
      <c r="L71" s="29">
        <v>0.96430000000000005</v>
      </c>
      <c r="M71" s="29" t="s">
        <v>113</v>
      </c>
    </row>
    <row r="72" spans="1:13" x14ac:dyDescent="0.35">
      <c r="A72" s="30">
        <v>46082</v>
      </c>
      <c r="B72" s="29" t="s">
        <v>8</v>
      </c>
      <c r="C72" s="29">
        <v>58942.2</v>
      </c>
      <c r="D72" s="29">
        <v>76.66</v>
      </c>
      <c r="E72" s="29">
        <v>4518724</v>
      </c>
      <c r="F72" s="29">
        <v>1170352</v>
      </c>
      <c r="G72" s="29">
        <v>156000</v>
      </c>
      <c r="H72" s="29">
        <v>3192372</v>
      </c>
      <c r="I72" s="29">
        <v>61200</v>
      </c>
      <c r="J72" s="29">
        <v>0.44009999999999999</v>
      </c>
      <c r="K72" s="29">
        <v>6</v>
      </c>
      <c r="L72" s="29">
        <v>0.9919</v>
      </c>
      <c r="M72" s="29" t="s">
        <v>113</v>
      </c>
    </row>
    <row r="73" spans="1:13" x14ac:dyDescent="0.35">
      <c r="A73" s="30">
        <v>46082</v>
      </c>
      <c r="B73" s="29" t="s">
        <v>13</v>
      </c>
      <c r="C73" s="29">
        <v>6940.5</v>
      </c>
      <c r="D73" s="29">
        <v>71.75</v>
      </c>
      <c r="E73" s="29">
        <v>497996</v>
      </c>
      <c r="F73" s="29">
        <v>118797</v>
      </c>
      <c r="G73" s="29">
        <v>43050</v>
      </c>
      <c r="H73" s="29">
        <v>336149</v>
      </c>
      <c r="I73" s="29">
        <v>32047</v>
      </c>
      <c r="J73" s="29">
        <v>0.1244</v>
      </c>
      <c r="K73" s="29">
        <v>4</v>
      </c>
      <c r="L73" s="29">
        <v>0.99460000000000004</v>
      </c>
      <c r="M73" s="29" t="s">
        <v>113</v>
      </c>
    </row>
    <row r="74" spans="1:13" x14ac:dyDescent="0.35">
      <c r="A74" s="30">
        <v>46082</v>
      </c>
      <c r="B74" s="29" t="s">
        <v>17</v>
      </c>
      <c r="C74" s="29">
        <v>3798</v>
      </c>
      <c r="D74" s="29">
        <v>69.489999999999995</v>
      </c>
      <c r="E74" s="29">
        <v>263910</v>
      </c>
      <c r="F74" s="29">
        <v>71819</v>
      </c>
      <c r="G74" s="29">
        <v>30750</v>
      </c>
      <c r="H74" s="29">
        <v>161342</v>
      </c>
      <c r="I74" s="29">
        <v>31746</v>
      </c>
      <c r="J74" s="29">
        <v>0.1215</v>
      </c>
      <c r="K74" s="29">
        <v>6</v>
      </c>
      <c r="L74" s="29">
        <v>0.9919</v>
      </c>
      <c r="M74" s="29" t="s">
        <v>113</v>
      </c>
    </row>
    <row r="75" spans="1:13" x14ac:dyDescent="0.35">
      <c r="A75" s="30">
        <v>46082</v>
      </c>
      <c r="B75" s="29" t="s">
        <v>20</v>
      </c>
      <c r="C75" s="29">
        <v>15118.8</v>
      </c>
      <c r="D75" s="29">
        <v>43.19</v>
      </c>
      <c r="E75" s="29">
        <v>653035</v>
      </c>
      <c r="F75" s="29">
        <v>317534</v>
      </c>
      <c r="G75" s="29">
        <v>67600</v>
      </c>
      <c r="H75" s="29">
        <v>267902</v>
      </c>
      <c r="I75" s="29">
        <v>74200</v>
      </c>
      <c r="J75" s="29">
        <v>0.3387</v>
      </c>
      <c r="K75" s="29">
        <v>26</v>
      </c>
      <c r="L75" s="29">
        <v>0.96509999999999996</v>
      </c>
      <c r="M75" s="29" t="s">
        <v>113</v>
      </c>
    </row>
    <row r="76" spans="1:13" x14ac:dyDescent="0.35">
      <c r="A76" s="30">
        <v>46082</v>
      </c>
      <c r="B76" s="29" t="s">
        <v>25</v>
      </c>
      <c r="C76" s="29">
        <v>4766.8</v>
      </c>
      <c r="D76" s="29">
        <v>115.66</v>
      </c>
      <c r="E76" s="29">
        <v>551331</v>
      </c>
      <c r="F76" s="29">
        <v>1007830</v>
      </c>
      <c r="G76" s="29">
        <v>100700</v>
      </c>
      <c r="H76" s="29">
        <v>-557199</v>
      </c>
      <c r="I76" s="29">
        <v>483000</v>
      </c>
      <c r="J76" s="29">
        <v>0.32029999999999997</v>
      </c>
      <c r="K76" s="29">
        <v>30</v>
      </c>
      <c r="L76" s="29">
        <v>0.9597</v>
      </c>
      <c r="M76" s="29" t="s">
        <v>113</v>
      </c>
    </row>
    <row r="77" spans="1:13" x14ac:dyDescent="0.35">
      <c r="A77" s="30">
        <v>46113</v>
      </c>
      <c r="B77" s="29" t="s">
        <v>8</v>
      </c>
      <c r="C77" s="29">
        <v>46722.5</v>
      </c>
      <c r="D77" s="29">
        <v>71.400000000000006</v>
      </c>
      <c r="E77" s="29">
        <v>3336178</v>
      </c>
      <c r="F77" s="29">
        <v>1250825</v>
      </c>
      <c r="G77" s="29">
        <v>156000</v>
      </c>
      <c r="H77" s="29">
        <v>1929353</v>
      </c>
      <c r="I77" s="29">
        <v>255000</v>
      </c>
      <c r="J77" s="29">
        <v>0.36049999999999999</v>
      </c>
      <c r="K77" s="29">
        <v>20</v>
      </c>
      <c r="L77" s="29">
        <v>0.97219999999999995</v>
      </c>
      <c r="M77" s="29" t="s">
        <v>113</v>
      </c>
    </row>
    <row r="78" spans="1:13" x14ac:dyDescent="0.35">
      <c r="A78" s="30">
        <v>46113</v>
      </c>
      <c r="B78" s="29" t="s">
        <v>13</v>
      </c>
      <c r="C78" s="29">
        <v>9089</v>
      </c>
      <c r="D78" s="29">
        <v>64.31</v>
      </c>
      <c r="E78" s="29">
        <v>584498</v>
      </c>
      <c r="F78" s="29">
        <v>125082</v>
      </c>
      <c r="G78" s="29">
        <v>43050</v>
      </c>
      <c r="H78" s="29">
        <v>416366</v>
      </c>
      <c r="I78" s="29">
        <v>7524</v>
      </c>
      <c r="J78" s="29">
        <v>0.16830000000000001</v>
      </c>
      <c r="K78" s="29">
        <v>2</v>
      </c>
      <c r="L78" s="29">
        <v>0.99719999999999998</v>
      </c>
      <c r="M78" s="29" t="s">
        <v>113</v>
      </c>
    </row>
    <row r="79" spans="1:13" x14ac:dyDescent="0.35">
      <c r="A79" s="30">
        <v>46113</v>
      </c>
      <c r="B79" s="29" t="s">
        <v>17</v>
      </c>
      <c r="C79" s="29">
        <v>5097.3999999999996</v>
      </c>
      <c r="D79" s="29">
        <v>66.45</v>
      </c>
      <c r="E79" s="29">
        <v>338715</v>
      </c>
      <c r="F79" s="29">
        <v>75393</v>
      </c>
      <c r="G79" s="29">
        <v>30750</v>
      </c>
      <c r="H79" s="29">
        <v>232571</v>
      </c>
      <c r="I79" s="29">
        <v>7739</v>
      </c>
      <c r="J79" s="29">
        <v>0.1686</v>
      </c>
      <c r="K79" s="29">
        <v>6</v>
      </c>
      <c r="L79" s="29">
        <v>0.99170000000000003</v>
      </c>
      <c r="M79" s="29" t="s">
        <v>113</v>
      </c>
    </row>
    <row r="80" spans="1:13" x14ac:dyDescent="0.35">
      <c r="A80" s="30">
        <v>46113</v>
      </c>
      <c r="B80" s="29" t="s">
        <v>20</v>
      </c>
      <c r="C80" s="29">
        <v>16874.400000000001</v>
      </c>
      <c r="D80" s="29">
        <v>49.82</v>
      </c>
      <c r="E80" s="29">
        <v>840626</v>
      </c>
      <c r="F80" s="29">
        <v>319297</v>
      </c>
      <c r="G80" s="29">
        <v>67600</v>
      </c>
      <c r="H80" s="29">
        <v>453728</v>
      </c>
      <c r="I80" s="29">
        <v>74200</v>
      </c>
      <c r="J80" s="29">
        <v>0.3906</v>
      </c>
      <c r="K80" s="29">
        <v>10</v>
      </c>
      <c r="L80" s="29">
        <v>0.98609999999999998</v>
      </c>
      <c r="M80" s="29" t="s">
        <v>113</v>
      </c>
    </row>
    <row r="81" spans="1:13" x14ac:dyDescent="0.35">
      <c r="A81" s="30">
        <v>46113</v>
      </c>
      <c r="B81" s="29" t="s">
        <v>25</v>
      </c>
      <c r="C81" s="29">
        <v>4962.5</v>
      </c>
      <c r="D81" s="29">
        <v>115.15</v>
      </c>
      <c r="E81" s="29">
        <v>571440</v>
      </c>
      <c r="F81" s="29">
        <v>1011858</v>
      </c>
      <c r="G81" s="29">
        <v>100700</v>
      </c>
      <c r="H81" s="29">
        <v>-541118</v>
      </c>
      <c r="I81" s="29">
        <v>436800</v>
      </c>
      <c r="J81" s="29">
        <v>0.34460000000000002</v>
      </c>
      <c r="K81" s="29">
        <v>36</v>
      </c>
      <c r="L81" s="29">
        <v>0.95</v>
      </c>
      <c r="M81" s="29" t="s">
        <v>113</v>
      </c>
    </row>
    <row r="82" spans="1:13" x14ac:dyDescent="0.35">
      <c r="A82" s="30">
        <v>46143</v>
      </c>
      <c r="B82" s="29" t="s">
        <v>8</v>
      </c>
      <c r="C82" s="29">
        <v>44455.7</v>
      </c>
      <c r="D82" s="29">
        <v>64.459999999999994</v>
      </c>
      <c r="E82" s="29">
        <v>2865449</v>
      </c>
      <c r="F82" s="29">
        <v>1086295</v>
      </c>
      <c r="G82" s="29">
        <v>156000</v>
      </c>
      <c r="H82" s="29">
        <v>1623154</v>
      </c>
      <c r="I82" s="29">
        <v>61200</v>
      </c>
      <c r="J82" s="29">
        <v>0.33200000000000002</v>
      </c>
      <c r="K82" s="29">
        <v>14</v>
      </c>
      <c r="L82" s="29">
        <v>0.98119999999999996</v>
      </c>
      <c r="M82" s="29" t="s">
        <v>113</v>
      </c>
    </row>
    <row r="83" spans="1:13" x14ac:dyDescent="0.35">
      <c r="A83" s="30">
        <v>46143</v>
      </c>
      <c r="B83" s="29" t="s">
        <v>13</v>
      </c>
      <c r="C83" s="29">
        <v>10888.2</v>
      </c>
      <c r="D83" s="29">
        <v>56.44</v>
      </c>
      <c r="E83" s="29">
        <v>614497</v>
      </c>
      <c r="F83" s="29">
        <v>133813</v>
      </c>
      <c r="G83" s="29">
        <v>43050</v>
      </c>
      <c r="H83" s="29">
        <v>437634</v>
      </c>
      <c r="I83" s="29">
        <v>7422</v>
      </c>
      <c r="J83" s="29">
        <v>0.1951</v>
      </c>
      <c r="K83" s="29">
        <v>4</v>
      </c>
      <c r="L83" s="29">
        <v>0.99460000000000004</v>
      </c>
      <c r="M83" s="29" t="s">
        <v>113</v>
      </c>
    </row>
    <row r="84" spans="1:13" x14ac:dyDescent="0.35">
      <c r="A84" s="30">
        <v>46143</v>
      </c>
      <c r="B84" s="29" t="s">
        <v>17</v>
      </c>
      <c r="C84" s="29">
        <v>6120.1</v>
      </c>
      <c r="D84" s="29">
        <v>56.83</v>
      </c>
      <c r="E84" s="29">
        <v>347786</v>
      </c>
      <c r="F84" s="29">
        <v>79008</v>
      </c>
      <c r="G84" s="29">
        <v>30750</v>
      </c>
      <c r="H84" s="29">
        <v>238028</v>
      </c>
      <c r="I84" s="29">
        <v>7848</v>
      </c>
      <c r="J84" s="29">
        <v>0.19589999999999999</v>
      </c>
      <c r="K84" s="29">
        <v>6</v>
      </c>
      <c r="L84" s="29">
        <v>0.9919</v>
      </c>
      <c r="M84" s="29" t="s">
        <v>113</v>
      </c>
    </row>
    <row r="85" spans="1:13" x14ac:dyDescent="0.35">
      <c r="A85" s="30">
        <v>46143</v>
      </c>
      <c r="B85" s="29" t="s">
        <v>20</v>
      </c>
      <c r="C85" s="29">
        <v>18926.900000000001</v>
      </c>
      <c r="D85" s="29">
        <v>46.29</v>
      </c>
      <c r="E85" s="29">
        <v>876095</v>
      </c>
      <c r="F85" s="29">
        <v>321061</v>
      </c>
      <c r="G85" s="29">
        <v>67600</v>
      </c>
      <c r="H85" s="29">
        <v>487433</v>
      </c>
      <c r="I85" s="29">
        <v>74200</v>
      </c>
      <c r="J85" s="29">
        <v>0.42399999999999999</v>
      </c>
      <c r="K85" s="29">
        <v>6</v>
      </c>
      <c r="L85" s="29">
        <v>0.9919</v>
      </c>
      <c r="M85" s="29" t="s">
        <v>113</v>
      </c>
    </row>
    <row r="86" spans="1:13" x14ac:dyDescent="0.35">
      <c r="A86" s="30">
        <v>46143</v>
      </c>
      <c r="B86" s="29" t="s">
        <v>25</v>
      </c>
      <c r="C86" s="29">
        <v>5210.3999999999996</v>
      </c>
      <c r="D86" s="29">
        <v>116.7</v>
      </c>
      <c r="E86" s="29">
        <v>608029</v>
      </c>
      <c r="F86" s="29">
        <v>1048263</v>
      </c>
      <c r="G86" s="29">
        <v>100700</v>
      </c>
      <c r="H86" s="29">
        <v>-540934</v>
      </c>
      <c r="I86" s="29">
        <v>436800</v>
      </c>
      <c r="J86" s="29">
        <v>0.35020000000000001</v>
      </c>
      <c r="K86" s="29">
        <v>59</v>
      </c>
      <c r="L86" s="29">
        <v>0.92069999999999996</v>
      </c>
      <c r="M86" s="29" t="s">
        <v>113</v>
      </c>
    </row>
    <row r="87" spans="1:13" x14ac:dyDescent="0.35">
      <c r="A87" s="30">
        <v>46174</v>
      </c>
      <c r="B87" s="29" t="s">
        <v>8</v>
      </c>
      <c r="C87" s="29">
        <v>40163.4</v>
      </c>
      <c r="D87" s="29">
        <v>58.4</v>
      </c>
      <c r="E87" s="29">
        <v>2345717</v>
      </c>
      <c r="F87" s="29">
        <v>1032320</v>
      </c>
      <c r="G87" s="29">
        <v>156000</v>
      </c>
      <c r="H87" s="29">
        <v>1157398</v>
      </c>
      <c r="I87" s="29">
        <v>61200</v>
      </c>
      <c r="J87" s="29">
        <v>0.30990000000000001</v>
      </c>
      <c r="K87" s="29">
        <v>6</v>
      </c>
      <c r="L87" s="29">
        <v>0.99170000000000003</v>
      </c>
      <c r="M87" s="29" t="s">
        <v>113</v>
      </c>
    </row>
    <row r="88" spans="1:13" x14ac:dyDescent="0.35">
      <c r="A88" s="30">
        <v>46174</v>
      </c>
      <c r="B88" s="29" t="s">
        <v>13</v>
      </c>
      <c r="C88" s="29">
        <v>12445.8</v>
      </c>
      <c r="D88" s="29">
        <v>53.04</v>
      </c>
      <c r="E88" s="29">
        <v>660091</v>
      </c>
      <c r="F88" s="29">
        <v>136840</v>
      </c>
      <c r="G88" s="29">
        <v>43050</v>
      </c>
      <c r="H88" s="29">
        <v>480201</v>
      </c>
      <c r="I88" s="29">
        <v>7404</v>
      </c>
      <c r="J88" s="29">
        <v>0.23050000000000001</v>
      </c>
      <c r="K88" s="29">
        <v>6</v>
      </c>
      <c r="L88" s="29">
        <v>0.99170000000000003</v>
      </c>
      <c r="M88" s="29" t="s">
        <v>113</v>
      </c>
    </row>
    <row r="89" spans="1:13" x14ac:dyDescent="0.35">
      <c r="A89" s="30">
        <v>46174</v>
      </c>
      <c r="B89" s="29" t="s">
        <v>17</v>
      </c>
      <c r="C89" s="29">
        <v>6650.2</v>
      </c>
      <c r="D89" s="29">
        <v>53.41</v>
      </c>
      <c r="E89" s="29">
        <v>355198</v>
      </c>
      <c r="F89" s="29">
        <v>80362</v>
      </c>
      <c r="G89" s="29">
        <v>30750</v>
      </c>
      <c r="H89" s="29">
        <v>244086</v>
      </c>
      <c r="I89" s="29">
        <v>7533</v>
      </c>
      <c r="J89" s="29">
        <v>0.21990000000000001</v>
      </c>
      <c r="K89" s="29">
        <v>4</v>
      </c>
      <c r="L89" s="29">
        <v>0.99439999999999995</v>
      </c>
      <c r="M89" s="29" t="s">
        <v>113</v>
      </c>
    </row>
    <row r="90" spans="1:13" x14ac:dyDescent="0.35">
      <c r="A90" s="30">
        <v>46174</v>
      </c>
      <c r="B90" s="29" t="s">
        <v>20</v>
      </c>
      <c r="C90" s="29">
        <v>18665.8</v>
      </c>
      <c r="D90" s="29">
        <v>51.03</v>
      </c>
      <c r="E90" s="29">
        <v>952593</v>
      </c>
      <c r="F90" s="29">
        <v>322825</v>
      </c>
      <c r="G90" s="29">
        <v>67600</v>
      </c>
      <c r="H90" s="29">
        <v>562168</v>
      </c>
      <c r="I90" s="29">
        <v>74200</v>
      </c>
      <c r="J90" s="29">
        <v>0.43209999999999998</v>
      </c>
      <c r="K90" s="29">
        <v>14</v>
      </c>
      <c r="L90" s="29">
        <v>0.98060000000000003</v>
      </c>
      <c r="M90" s="29" t="s">
        <v>113</v>
      </c>
    </row>
    <row r="91" spans="1:13" x14ac:dyDescent="0.35">
      <c r="A91" s="30">
        <v>46174</v>
      </c>
      <c r="B91" s="29" t="s">
        <v>25</v>
      </c>
      <c r="C91" s="29">
        <v>5111.6000000000004</v>
      </c>
      <c r="D91" s="29">
        <v>119.11</v>
      </c>
      <c r="E91" s="29">
        <v>608864</v>
      </c>
      <c r="F91" s="29">
        <v>1050987</v>
      </c>
      <c r="G91" s="29">
        <v>100700</v>
      </c>
      <c r="H91" s="29">
        <v>-542823</v>
      </c>
      <c r="I91" s="29">
        <v>436800</v>
      </c>
      <c r="J91" s="29">
        <v>0.35499999999999998</v>
      </c>
      <c r="K91" s="29">
        <v>24</v>
      </c>
      <c r="L91" s="29">
        <v>0.9667</v>
      </c>
      <c r="M91" s="29" t="s">
        <v>113</v>
      </c>
    </row>
    <row r="92" spans="1:13" x14ac:dyDescent="0.35">
      <c r="A92" s="30">
        <v>46204</v>
      </c>
      <c r="B92" s="29" t="s">
        <v>8</v>
      </c>
      <c r="C92" s="29">
        <v>39437.800000000003</v>
      </c>
      <c r="D92" s="29">
        <v>56.31</v>
      </c>
      <c r="E92" s="29">
        <v>2220609</v>
      </c>
      <c r="F92" s="29">
        <v>1003434</v>
      </c>
      <c r="G92" s="29">
        <v>156000</v>
      </c>
      <c r="H92" s="29">
        <v>1061175</v>
      </c>
      <c r="I92" s="29">
        <v>61200</v>
      </c>
      <c r="J92" s="29">
        <v>0.29449999999999998</v>
      </c>
      <c r="K92" s="29">
        <v>14</v>
      </c>
      <c r="L92" s="29">
        <v>0.98119999999999996</v>
      </c>
      <c r="M92" s="29" t="s">
        <v>113</v>
      </c>
    </row>
    <row r="93" spans="1:13" x14ac:dyDescent="0.35">
      <c r="A93" s="30">
        <v>46204</v>
      </c>
      <c r="B93" s="29" t="s">
        <v>13</v>
      </c>
      <c r="C93" s="29">
        <v>12287.1</v>
      </c>
      <c r="D93" s="29">
        <v>51.35</v>
      </c>
      <c r="E93" s="29">
        <v>630886</v>
      </c>
      <c r="F93" s="29">
        <v>139922</v>
      </c>
      <c r="G93" s="29">
        <v>43050</v>
      </c>
      <c r="H93" s="29">
        <v>447914</v>
      </c>
      <c r="I93" s="29">
        <v>8511</v>
      </c>
      <c r="J93" s="29">
        <v>0.22020000000000001</v>
      </c>
      <c r="K93" s="29">
        <v>6</v>
      </c>
      <c r="L93" s="29">
        <v>0.9919</v>
      </c>
      <c r="M93" s="29" t="s">
        <v>113</v>
      </c>
    </row>
    <row r="94" spans="1:13" x14ac:dyDescent="0.35">
      <c r="A94" s="30">
        <v>46204</v>
      </c>
      <c r="B94" s="29" t="s">
        <v>17</v>
      </c>
      <c r="C94" s="29">
        <v>7177.9</v>
      </c>
      <c r="D94" s="29">
        <v>48.75</v>
      </c>
      <c r="E94" s="29">
        <v>349922</v>
      </c>
      <c r="F94" s="29">
        <v>82569</v>
      </c>
      <c r="G94" s="29">
        <v>30750</v>
      </c>
      <c r="H94" s="29">
        <v>236604</v>
      </c>
      <c r="I94" s="29">
        <v>7888</v>
      </c>
      <c r="J94" s="29">
        <v>0.22969999999999999</v>
      </c>
      <c r="K94" s="29">
        <v>2</v>
      </c>
      <c r="L94" s="29">
        <v>0.99729999999999996</v>
      </c>
      <c r="M94" s="29" t="s">
        <v>113</v>
      </c>
    </row>
    <row r="95" spans="1:13" x14ac:dyDescent="0.35">
      <c r="A95" s="30">
        <v>46204</v>
      </c>
      <c r="B95" s="29" t="s">
        <v>20</v>
      </c>
      <c r="C95" s="29">
        <v>18961.3</v>
      </c>
      <c r="D95" s="29">
        <v>52.87</v>
      </c>
      <c r="E95" s="29">
        <v>1002438</v>
      </c>
      <c r="F95" s="29">
        <v>324589</v>
      </c>
      <c r="G95" s="29">
        <v>67600</v>
      </c>
      <c r="H95" s="29">
        <v>610249</v>
      </c>
      <c r="I95" s="29">
        <v>74200</v>
      </c>
      <c r="J95" s="29">
        <v>0.42480000000000001</v>
      </c>
      <c r="K95" s="29">
        <v>14</v>
      </c>
      <c r="L95" s="29">
        <v>0.98119999999999996</v>
      </c>
      <c r="M95" s="29" t="s">
        <v>113</v>
      </c>
    </row>
    <row r="96" spans="1:13" x14ac:dyDescent="0.35">
      <c r="A96" s="30">
        <v>46204</v>
      </c>
      <c r="B96" s="29" t="s">
        <v>25</v>
      </c>
      <c r="C96" s="29">
        <v>6087.9</v>
      </c>
      <c r="D96" s="29">
        <v>117.8</v>
      </c>
      <c r="E96" s="29">
        <v>717180</v>
      </c>
      <c r="F96" s="29">
        <v>1088696</v>
      </c>
      <c r="G96" s="29">
        <v>100700</v>
      </c>
      <c r="H96" s="29">
        <v>-472216</v>
      </c>
      <c r="I96" s="29">
        <v>436800</v>
      </c>
      <c r="J96" s="29">
        <v>0.40910000000000002</v>
      </c>
      <c r="K96" s="29">
        <v>36</v>
      </c>
      <c r="L96" s="29">
        <v>0.9516</v>
      </c>
      <c r="M96" s="29" t="s">
        <v>113</v>
      </c>
    </row>
    <row r="97" spans="1:13" x14ac:dyDescent="0.35">
      <c r="A97" s="30">
        <v>46235</v>
      </c>
      <c r="B97" s="29" t="s">
        <v>8</v>
      </c>
      <c r="C97" s="29">
        <v>41333.599999999999</v>
      </c>
      <c r="D97" s="29">
        <v>60.43</v>
      </c>
      <c r="E97" s="29">
        <v>2497962</v>
      </c>
      <c r="F97" s="29">
        <v>1032913</v>
      </c>
      <c r="G97" s="29">
        <v>156000</v>
      </c>
      <c r="H97" s="29">
        <v>1309049</v>
      </c>
      <c r="I97" s="29">
        <v>61200</v>
      </c>
      <c r="J97" s="29">
        <v>0.30859999999999999</v>
      </c>
      <c r="K97" s="29">
        <v>14</v>
      </c>
      <c r="L97" s="29">
        <v>0.98119999999999996</v>
      </c>
      <c r="M97" s="29" t="s">
        <v>113</v>
      </c>
    </row>
    <row r="98" spans="1:13" x14ac:dyDescent="0.35">
      <c r="A98" s="30">
        <v>46235</v>
      </c>
      <c r="B98" s="29" t="s">
        <v>13</v>
      </c>
      <c r="C98" s="29">
        <v>11718.1</v>
      </c>
      <c r="D98" s="29">
        <v>54.2</v>
      </c>
      <c r="E98" s="29">
        <v>635090</v>
      </c>
      <c r="F98" s="29">
        <v>135644</v>
      </c>
      <c r="G98" s="29">
        <v>43050</v>
      </c>
      <c r="H98" s="29">
        <v>456396</v>
      </c>
      <c r="I98" s="29">
        <v>7842</v>
      </c>
      <c r="J98" s="29">
        <v>0.21</v>
      </c>
      <c r="K98" s="29">
        <v>6</v>
      </c>
      <c r="L98" s="29">
        <v>0.9919</v>
      </c>
      <c r="M98" s="29" t="s">
        <v>113</v>
      </c>
    </row>
    <row r="99" spans="1:13" x14ac:dyDescent="0.35">
      <c r="A99" s="30">
        <v>46235</v>
      </c>
      <c r="B99" s="29" t="s">
        <v>17</v>
      </c>
      <c r="C99" s="29">
        <v>6359.2</v>
      </c>
      <c r="D99" s="29">
        <v>51.98</v>
      </c>
      <c r="E99" s="29">
        <v>330525</v>
      </c>
      <c r="F99" s="29">
        <v>80276</v>
      </c>
      <c r="G99" s="29">
        <v>30750</v>
      </c>
      <c r="H99" s="29">
        <v>219499</v>
      </c>
      <c r="I99" s="29">
        <v>8331</v>
      </c>
      <c r="J99" s="29">
        <v>0.20349999999999999</v>
      </c>
      <c r="K99" s="29">
        <v>2</v>
      </c>
      <c r="L99" s="29">
        <v>0.99729999999999996</v>
      </c>
      <c r="M99" s="29" t="s">
        <v>113</v>
      </c>
    </row>
    <row r="100" spans="1:13" x14ac:dyDescent="0.35">
      <c r="A100" s="30">
        <v>46235</v>
      </c>
      <c r="B100" s="29" t="s">
        <v>20</v>
      </c>
      <c r="C100" s="29">
        <v>19580.900000000001</v>
      </c>
      <c r="D100" s="29">
        <v>50.53</v>
      </c>
      <c r="E100" s="29">
        <v>989420</v>
      </c>
      <c r="F100" s="29">
        <v>326353</v>
      </c>
      <c r="G100" s="29">
        <v>67600</v>
      </c>
      <c r="H100" s="29">
        <v>595467</v>
      </c>
      <c r="I100" s="29">
        <v>74200</v>
      </c>
      <c r="J100" s="29">
        <v>0.43859999999999999</v>
      </c>
      <c r="K100" s="29">
        <v>10</v>
      </c>
      <c r="L100" s="29">
        <v>0.98660000000000003</v>
      </c>
      <c r="M100" s="29" t="s">
        <v>113</v>
      </c>
    </row>
    <row r="101" spans="1:13" x14ac:dyDescent="0.35">
      <c r="A101" s="30">
        <v>46235</v>
      </c>
      <c r="B101" s="29" t="s">
        <v>25</v>
      </c>
      <c r="C101" s="29">
        <v>6309.5</v>
      </c>
      <c r="D101" s="29">
        <v>118.33</v>
      </c>
      <c r="E101" s="29">
        <v>746590</v>
      </c>
      <c r="F101" s="29">
        <v>1108913</v>
      </c>
      <c r="G101" s="29">
        <v>100700</v>
      </c>
      <c r="H101" s="29">
        <v>-463022</v>
      </c>
      <c r="I101" s="29">
        <v>436800</v>
      </c>
      <c r="J101" s="29">
        <v>0.42399999999999999</v>
      </c>
      <c r="K101" s="29">
        <v>30</v>
      </c>
      <c r="L101" s="29">
        <v>0.9597</v>
      </c>
      <c r="M101" s="29" t="s">
        <v>113</v>
      </c>
    </row>
    <row r="102" spans="1:13" x14ac:dyDescent="0.35">
      <c r="A102" s="30">
        <v>46266</v>
      </c>
      <c r="B102" s="29" t="s">
        <v>8</v>
      </c>
      <c r="C102" s="29">
        <v>45035.5</v>
      </c>
      <c r="D102" s="29">
        <v>68.42</v>
      </c>
      <c r="E102" s="29">
        <v>3081141</v>
      </c>
      <c r="F102" s="29">
        <v>1097630</v>
      </c>
      <c r="G102" s="29">
        <v>156000</v>
      </c>
      <c r="H102" s="29">
        <v>1827510</v>
      </c>
      <c r="I102" s="29">
        <v>61200</v>
      </c>
      <c r="J102" s="29">
        <v>0.34749999999999998</v>
      </c>
      <c r="K102" s="29">
        <v>6</v>
      </c>
      <c r="L102" s="29">
        <v>0.99170000000000003</v>
      </c>
      <c r="M102" s="29" t="s">
        <v>113</v>
      </c>
    </row>
    <row r="103" spans="1:13" x14ac:dyDescent="0.35">
      <c r="A103" s="30">
        <v>46266</v>
      </c>
      <c r="B103" s="29" t="s">
        <v>13</v>
      </c>
      <c r="C103" s="29">
        <v>8737.7000000000007</v>
      </c>
      <c r="D103" s="29">
        <v>64.53</v>
      </c>
      <c r="E103" s="29">
        <v>563805</v>
      </c>
      <c r="F103" s="29">
        <v>125748</v>
      </c>
      <c r="G103" s="29">
        <v>43050</v>
      </c>
      <c r="H103" s="29">
        <v>395007</v>
      </c>
      <c r="I103" s="29">
        <v>28948</v>
      </c>
      <c r="J103" s="29">
        <v>0.1618</v>
      </c>
      <c r="K103" s="29">
        <v>2</v>
      </c>
      <c r="L103" s="29">
        <v>0.99719999999999998</v>
      </c>
      <c r="M103" s="29" t="s">
        <v>113</v>
      </c>
    </row>
    <row r="104" spans="1:13" x14ac:dyDescent="0.35">
      <c r="A104" s="30">
        <v>46266</v>
      </c>
      <c r="B104" s="29" t="s">
        <v>17</v>
      </c>
      <c r="C104" s="29">
        <v>4579.5</v>
      </c>
      <c r="D104" s="29">
        <v>61.81</v>
      </c>
      <c r="E104" s="29">
        <v>283056</v>
      </c>
      <c r="F104" s="29">
        <v>75017</v>
      </c>
      <c r="G104" s="29">
        <v>30750</v>
      </c>
      <c r="H104" s="29">
        <v>177290</v>
      </c>
      <c r="I104" s="29">
        <v>31268</v>
      </c>
      <c r="J104" s="29">
        <v>0.15140000000000001</v>
      </c>
      <c r="K104" s="29">
        <v>2</v>
      </c>
      <c r="L104" s="29">
        <v>0.99719999999999998</v>
      </c>
      <c r="M104" s="29" t="s">
        <v>113</v>
      </c>
    </row>
    <row r="105" spans="1:13" x14ac:dyDescent="0.35">
      <c r="A105" s="30">
        <v>46266</v>
      </c>
      <c r="B105" s="29" t="s">
        <v>20</v>
      </c>
      <c r="C105" s="29">
        <v>21381.1</v>
      </c>
      <c r="D105" s="29">
        <v>51.52</v>
      </c>
      <c r="E105" s="29">
        <v>1101484</v>
      </c>
      <c r="F105" s="29">
        <v>328117</v>
      </c>
      <c r="G105" s="29">
        <v>67600</v>
      </c>
      <c r="H105" s="29">
        <v>705767</v>
      </c>
      <c r="I105" s="29">
        <v>74200</v>
      </c>
      <c r="J105" s="29">
        <v>0.49490000000000001</v>
      </c>
      <c r="K105" s="29">
        <v>22</v>
      </c>
      <c r="L105" s="29">
        <v>0.96940000000000004</v>
      </c>
      <c r="M105" s="29" t="s">
        <v>113</v>
      </c>
    </row>
    <row r="106" spans="1:13" x14ac:dyDescent="0.35">
      <c r="A106" s="30">
        <v>46266</v>
      </c>
      <c r="B106" s="29" t="s">
        <v>25</v>
      </c>
      <c r="C106" s="29">
        <v>6460.9</v>
      </c>
      <c r="D106" s="29">
        <v>116.64</v>
      </c>
      <c r="E106" s="29">
        <v>753570</v>
      </c>
      <c r="F106" s="29">
        <v>1109680</v>
      </c>
      <c r="G106" s="29">
        <v>100700</v>
      </c>
      <c r="H106" s="29">
        <v>-456809</v>
      </c>
      <c r="I106" s="29">
        <v>436800</v>
      </c>
      <c r="J106" s="29">
        <v>0.44869999999999999</v>
      </c>
      <c r="K106" s="29">
        <v>42</v>
      </c>
      <c r="L106" s="29">
        <v>0.94169999999999998</v>
      </c>
      <c r="M106" s="29" t="s">
        <v>113</v>
      </c>
    </row>
    <row r="107" spans="1:13" x14ac:dyDescent="0.35">
      <c r="A107" s="30">
        <v>46296</v>
      </c>
      <c r="B107" s="29" t="s">
        <v>8</v>
      </c>
      <c r="C107" s="29">
        <v>50935.5</v>
      </c>
      <c r="D107" s="29">
        <v>75.92</v>
      </c>
      <c r="E107" s="29">
        <v>3867029</v>
      </c>
      <c r="F107" s="29">
        <v>1408541</v>
      </c>
      <c r="G107" s="29">
        <v>156000</v>
      </c>
      <c r="H107" s="29">
        <v>2302489</v>
      </c>
      <c r="I107" s="29">
        <v>287500</v>
      </c>
      <c r="J107" s="29">
        <v>0.38030000000000003</v>
      </c>
      <c r="K107" s="29">
        <v>42</v>
      </c>
      <c r="L107" s="29">
        <v>0.94350000000000001</v>
      </c>
      <c r="M107" s="29" t="s">
        <v>113</v>
      </c>
    </row>
    <row r="108" spans="1:13" x14ac:dyDescent="0.35">
      <c r="A108" s="30">
        <v>46296</v>
      </c>
      <c r="B108" s="29" t="s">
        <v>13</v>
      </c>
      <c r="C108" s="29">
        <v>6093.6</v>
      </c>
      <c r="D108" s="29">
        <v>69.95</v>
      </c>
      <c r="E108" s="29">
        <v>426238</v>
      </c>
      <c r="F108" s="29">
        <v>117919</v>
      </c>
      <c r="G108" s="29">
        <v>43050</v>
      </c>
      <c r="H108" s="29">
        <v>265269</v>
      </c>
      <c r="I108" s="29">
        <v>8473</v>
      </c>
      <c r="J108" s="29">
        <v>0.10920000000000001</v>
      </c>
      <c r="K108" s="29">
        <v>2</v>
      </c>
      <c r="L108" s="29">
        <v>0.99729999999999996</v>
      </c>
      <c r="M108" s="29" t="s">
        <v>113</v>
      </c>
    </row>
    <row r="109" spans="1:13" x14ac:dyDescent="0.35">
      <c r="A109" s="30">
        <v>46296</v>
      </c>
      <c r="B109" s="29" t="s">
        <v>17</v>
      </c>
      <c r="C109" s="29">
        <v>3157</v>
      </c>
      <c r="D109" s="29">
        <v>70.08</v>
      </c>
      <c r="E109" s="29">
        <v>221242</v>
      </c>
      <c r="F109" s="29">
        <v>70065</v>
      </c>
      <c r="G109" s="29">
        <v>30750</v>
      </c>
      <c r="H109" s="29">
        <v>120427</v>
      </c>
      <c r="I109" s="29">
        <v>8090</v>
      </c>
      <c r="J109" s="29">
        <v>0.10100000000000001</v>
      </c>
      <c r="K109" s="29">
        <v>6</v>
      </c>
      <c r="L109" s="29">
        <v>0.9919</v>
      </c>
      <c r="M109" s="29" t="s">
        <v>113</v>
      </c>
    </row>
    <row r="110" spans="1:13" x14ac:dyDescent="0.35">
      <c r="A110" s="30">
        <v>46296</v>
      </c>
      <c r="B110" s="29" t="s">
        <v>20</v>
      </c>
      <c r="C110" s="29">
        <v>22124.5</v>
      </c>
      <c r="D110" s="29">
        <v>54.14</v>
      </c>
      <c r="E110" s="29">
        <v>1197732</v>
      </c>
      <c r="F110" s="29">
        <v>329880</v>
      </c>
      <c r="G110" s="29">
        <v>67600</v>
      </c>
      <c r="H110" s="29">
        <v>800252</v>
      </c>
      <c r="I110" s="29">
        <v>74200</v>
      </c>
      <c r="J110" s="29">
        <v>0.49559999999999998</v>
      </c>
      <c r="K110" s="29">
        <v>14</v>
      </c>
      <c r="L110" s="29">
        <v>0.98119999999999996</v>
      </c>
      <c r="M110" s="29" t="s">
        <v>113</v>
      </c>
    </row>
    <row r="111" spans="1:13" x14ac:dyDescent="0.35">
      <c r="A111" s="30">
        <v>46296</v>
      </c>
      <c r="B111" s="29" t="s">
        <v>25</v>
      </c>
      <c r="C111" s="29">
        <v>7071</v>
      </c>
      <c r="D111" s="29">
        <v>118.73</v>
      </c>
      <c r="E111" s="29">
        <v>839551</v>
      </c>
      <c r="F111" s="29">
        <v>1149346</v>
      </c>
      <c r="G111" s="29">
        <v>100700</v>
      </c>
      <c r="H111" s="29">
        <v>-410494</v>
      </c>
      <c r="I111" s="29">
        <v>436800</v>
      </c>
      <c r="J111" s="29">
        <v>0.47520000000000001</v>
      </c>
      <c r="K111" s="29">
        <v>42</v>
      </c>
      <c r="L111" s="29">
        <v>0.94350000000000001</v>
      </c>
      <c r="M111" s="29" t="s">
        <v>113</v>
      </c>
    </row>
    <row r="112" spans="1:13" x14ac:dyDescent="0.35">
      <c r="A112" s="30">
        <v>46327</v>
      </c>
      <c r="B112" s="29" t="s">
        <v>8</v>
      </c>
      <c r="C112" s="29">
        <v>61801.4</v>
      </c>
      <c r="D112" s="29">
        <v>81.78</v>
      </c>
      <c r="E112" s="29">
        <v>5054082</v>
      </c>
      <c r="F112" s="29">
        <v>1211127</v>
      </c>
      <c r="G112" s="29">
        <v>156000</v>
      </c>
      <c r="H112" s="29">
        <v>3686956</v>
      </c>
      <c r="I112" s="29">
        <v>61200</v>
      </c>
      <c r="J112" s="29">
        <v>0.47689999999999999</v>
      </c>
      <c r="K112" s="29">
        <v>14</v>
      </c>
      <c r="L112" s="29">
        <v>0.98060000000000003</v>
      </c>
      <c r="M112" s="29" t="s">
        <v>113</v>
      </c>
    </row>
    <row r="113" spans="1:13" x14ac:dyDescent="0.35">
      <c r="A113" s="30">
        <v>46327</v>
      </c>
      <c r="B113" s="29" t="s">
        <v>13</v>
      </c>
      <c r="C113" s="29">
        <v>3610.5</v>
      </c>
      <c r="D113" s="29">
        <v>78.45</v>
      </c>
      <c r="E113" s="29">
        <v>283229</v>
      </c>
      <c r="F113" s="29">
        <v>108401</v>
      </c>
      <c r="G113" s="29">
        <v>43050</v>
      </c>
      <c r="H113" s="29">
        <v>131778</v>
      </c>
      <c r="I113" s="29">
        <v>8604</v>
      </c>
      <c r="J113" s="29">
        <v>6.6900000000000001E-2</v>
      </c>
      <c r="K113" s="29">
        <v>8</v>
      </c>
      <c r="L113" s="29">
        <v>0.9889</v>
      </c>
      <c r="M113" s="29" t="s">
        <v>113</v>
      </c>
    </row>
    <row r="114" spans="1:13" x14ac:dyDescent="0.35">
      <c r="A114" s="30">
        <v>46327</v>
      </c>
      <c r="B114" s="29" t="s">
        <v>17</v>
      </c>
      <c r="C114" s="29">
        <v>1991.9</v>
      </c>
      <c r="D114" s="29">
        <v>75.81</v>
      </c>
      <c r="E114" s="29">
        <v>151016</v>
      </c>
      <c r="F114" s="29">
        <v>64207</v>
      </c>
      <c r="G114" s="29">
        <v>30750</v>
      </c>
      <c r="H114" s="29">
        <v>56060</v>
      </c>
      <c r="I114" s="29">
        <v>7817</v>
      </c>
      <c r="J114" s="29">
        <v>6.59E-2</v>
      </c>
      <c r="K114" s="29">
        <v>10</v>
      </c>
      <c r="L114" s="29">
        <v>0.98609999999999998</v>
      </c>
      <c r="M114" s="29" t="s">
        <v>113</v>
      </c>
    </row>
    <row r="115" spans="1:13" x14ac:dyDescent="0.35">
      <c r="A115" s="30">
        <v>46327</v>
      </c>
      <c r="B115" s="29" t="s">
        <v>20</v>
      </c>
      <c r="C115" s="29">
        <v>22954.9</v>
      </c>
      <c r="D115" s="29">
        <v>57.53</v>
      </c>
      <c r="E115" s="29">
        <v>1320634</v>
      </c>
      <c r="F115" s="29">
        <v>339361</v>
      </c>
      <c r="G115" s="29">
        <v>67600</v>
      </c>
      <c r="H115" s="29">
        <v>913673</v>
      </c>
      <c r="I115" s="29">
        <v>74200</v>
      </c>
      <c r="J115" s="29">
        <v>0.53139999999999998</v>
      </c>
      <c r="K115" s="29">
        <v>6</v>
      </c>
      <c r="L115" s="29">
        <v>0.99170000000000003</v>
      </c>
      <c r="M115" s="29" t="s">
        <v>113</v>
      </c>
    </row>
    <row r="116" spans="1:13" x14ac:dyDescent="0.35">
      <c r="A116" s="30">
        <v>46327</v>
      </c>
      <c r="B116" s="29" t="s">
        <v>25</v>
      </c>
      <c r="C116" s="29">
        <v>6454.8</v>
      </c>
      <c r="D116" s="29">
        <v>116.01</v>
      </c>
      <c r="E116" s="29">
        <v>748788</v>
      </c>
      <c r="F116" s="29">
        <v>1147658</v>
      </c>
      <c r="G116" s="29">
        <v>100700</v>
      </c>
      <c r="H116" s="29">
        <v>-499570</v>
      </c>
      <c r="I116" s="29">
        <v>436800</v>
      </c>
      <c r="J116" s="29">
        <v>0.44819999999999999</v>
      </c>
      <c r="K116" s="29">
        <v>53</v>
      </c>
      <c r="L116" s="29">
        <v>0.9264</v>
      </c>
      <c r="M116" s="29" t="s">
        <v>113</v>
      </c>
    </row>
    <row r="117" spans="1:13" x14ac:dyDescent="0.35">
      <c r="A117" s="30">
        <v>46357</v>
      </c>
      <c r="B117" s="29" t="s">
        <v>8</v>
      </c>
      <c r="C117" s="29">
        <v>64457.4</v>
      </c>
      <c r="D117" s="29">
        <v>85.32</v>
      </c>
      <c r="E117" s="29">
        <v>5499795</v>
      </c>
      <c r="F117" s="29">
        <v>1277966</v>
      </c>
      <c r="G117" s="29">
        <v>156000</v>
      </c>
      <c r="H117" s="29">
        <v>4065829</v>
      </c>
      <c r="I117" s="29">
        <v>61200</v>
      </c>
      <c r="J117" s="29">
        <v>0.48130000000000001</v>
      </c>
      <c r="K117" s="29">
        <v>6</v>
      </c>
      <c r="L117" s="29">
        <v>0.9919</v>
      </c>
      <c r="M117" s="29" t="s">
        <v>113</v>
      </c>
    </row>
    <row r="118" spans="1:13" x14ac:dyDescent="0.35">
      <c r="A118" s="30">
        <v>46357</v>
      </c>
      <c r="B118" s="29" t="s">
        <v>13</v>
      </c>
      <c r="C118" s="29">
        <v>2687.9</v>
      </c>
      <c r="D118" s="29">
        <v>84.23</v>
      </c>
      <c r="E118" s="29">
        <v>226404</v>
      </c>
      <c r="F118" s="29">
        <v>106469</v>
      </c>
      <c r="G118" s="29">
        <v>43050</v>
      </c>
      <c r="H118" s="29">
        <v>76885</v>
      </c>
      <c r="I118" s="29">
        <v>8592</v>
      </c>
      <c r="J118" s="29">
        <v>4.82E-2</v>
      </c>
      <c r="K118" s="29">
        <v>6</v>
      </c>
      <c r="L118" s="29">
        <v>0.9919</v>
      </c>
      <c r="M118" s="29" t="s">
        <v>113</v>
      </c>
    </row>
    <row r="119" spans="1:13" x14ac:dyDescent="0.35">
      <c r="A119" s="30">
        <v>46357</v>
      </c>
      <c r="B119" s="29" t="s">
        <v>17</v>
      </c>
      <c r="C119" s="29">
        <v>1637.2</v>
      </c>
      <c r="D119" s="29">
        <v>83.9</v>
      </c>
      <c r="E119" s="29">
        <v>137350</v>
      </c>
      <c r="F119" s="29">
        <v>63499</v>
      </c>
      <c r="G119" s="29">
        <v>30750</v>
      </c>
      <c r="H119" s="29">
        <v>43100</v>
      </c>
      <c r="I119" s="29">
        <v>7369</v>
      </c>
      <c r="J119" s="29">
        <v>5.2400000000000002E-2</v>
      </c>
      <c r="K119" s="29">
        <v>2</v>
      </c>
      <c r="L119" s="29">
        <v>0.99729999999999996</v>
      </c>
      <c r="M119" s="29" t="s">
        <v>113</v>
      </c>
    </row>
    <row r="120" spans="1:13" x14ac:dyDescent="0.35">
      <c r="A120" s="30">
        <v>46357</v>
      </c>
      <c r="B120" s="29" t="s">
        <v>20</v>
      </c>
      <c r="C120" s="29">
        <v>23855.5</v>
      </c>
      <c r="D120" s="29">
        <v>62.44</v>
      </c>
      <c r="E120" s="29">
        <v>1489617</v>
      </c>
      <c r="F120" s="29">
        <v>341125</v>
      </c>
      <c r="G120" s="29">
        <v>67600</v>
      </c>
      <c r="H120" s="29">
        <v>1080892</v>
      </c>
      <c r="I120" s="29">
        <v>74200</v>
      </c>
      <c r="J120" s="29">
        <v>0.53439999999999999</v>
      </c>
      <c r="K120" s="29">
        <v>18</v>
      </c>
      <c r="L120" s="29">
        <v>0.9758</v>
      </c>
      <c r="M120" s="29" t="s">
        <v>113</v>
      </c>
    </row>
    <row r="121" spans="1:13" x14ac:dyDescent="0.35">
      <c r="A121" s="30">
        <v>46357</v>
      </c>
      <c r="B121" s="29" t="s">
        <v>25</v>
      </c>
      <c r="C121" s="29">
        <v>6973.9</v>
      </c>
      <c r="D121" s="29">
        <v>118.08</v>
      </c>
      <c r="E121" s="29">
        <v>823503</v>
      </c>
      <c r="F121" s="29">
        <v>1168373</v>
      </c>
      <c r="G121" s="29">
        <v>100700</v>
      </c>
      <c r="H121" s="29">
        <v>-445570</v>
      </c>
      <c r="I121" s="29">
        <v>436800</v>
      </c>
      <c r="J121" s="29">
        <v>0.46870000000000001</v>
      </c>
      <c r="K121" s="29">
        <v>30</v>
      </c>
      <c r="L121" s="29">
        <v>0.9597</v>
      </c>
      <c r="M121" s="29" t="s">
        <v>113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C1E75-B763-4EE6-AEAD-B9E45B143336}">
  <sheetPr codeName="Sheet5"/>
  <dimension ref="A1:M121"/>
  <sheetViews>
    <sheetView showGridLines="0" workbookViewId="0">
      <pane xSplit="2" ySplit="1" topLeftCell="C2" activePane="bottomRight" state="frozen"/>
      <selection activeCell="F24" sqref="A2:M121"/>
      <selection pane="topRight"/>
      <selection pane="bottomLeft"/>
      <selection pane="bottomRight" activeCell="C2" sqref="C2"/>
    </sheetView>
  </sheetViews>
  <sheetFormatPr defaultRowHeight="14.5" x14ac:dyDescent="0.35"/>
  <cols>
    <col min="1" max="1" width="10.54296875" bestFit="1" customWidth="1"/>
    <col min="2" max="2" width="10" bestFit="1" customWidth="1"/>
    <col min="3" max="3" width="17.90625" bestFit="1" customWidth="1"/>
    <col min="4" max="4" width="24.08984375" bestFit="1" customWidth="1"/>
    <col min="5" max="5" width="13.90625" bestFit="1" customWidth="1"/>
    <col min="6" max="6" width="17" bestFit="1" customWidth="1"/>
    <col min="7" max="7" width="24" bestFit="1" customWidth="1"/>
    <col min="8" max="8" width="12.36328125" bestFit="1" customWidth="1"/>
    <col min="9" max="9" width="11.90625" bestFit="1" customWidth="1"/>
    <col min="10" max="10" width="15.08984375" bestFit="1" customWidth="1"/>
    <col min="11" max="11" width="17.6328125" bestFit="1" customWidth="1"/>
    <col min="12" max="12" width="16" bestFit="1" customWidth="1"/>
    <col min="13" max="13" width="10.453125" bestFit="1" customWidth="1"/>
  </cols>
  <sheetData>
    <row r="1" spans="1:13" x14ac:dyDescent="0.35">
      <c r="A1" t="s">
        <v>30</v>
      </c>
      <c r="B1" t="s">
        <v>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111</v>
      </c>
    </row>
    <row r="2" spans="1:13" x14ac:dyDescent="0.35">
      <c r="A2" s="30">
        <v>45658</v>
      </c>
      <c r="B2" s="29" t="s">
        <v>8</v>
      </c>
      <c r="C2" s="29">
        <v>66420</v>
      </c>
      <c r="D2" s="29">
        <v>92</v>
      </c>
      <c r="E2" s="29">
        <v>6110640</v>
      </c>
      <c r="F2" s="29">
        <v>1181360</v>
      </c>
      <c r="G2" s="29">
        <v>150000</v>
      </c>
      <c r="H2" s="29">
        <v>4779280</v>
      </c>
      <c r="I2" s="29">
        <v>60000</v>
      </c>
      <c r="J2" s="29">
        <v>0.496</v>
      </c>
      <c r="K2" s="29">
        <v>6</v>
      </c>
      <c r="L2" s="29">
        <v>0.9919</v>
      </c>
      <c r="M2" s="29" t="s">
        <v>112</v>
      </c>
    </row>
    <row r="3" spans="1:13" x14ac:dyDescent="0.35">
      <c r="A3" s="30">
        <v>45658</v>
      </c>
      <c r="B3" s="29" t="s">
        <v>13</v>
      </c>
      <c r="C3" s="29">
        <v>3060.8</v>
      </c>
      <c r="D3" s="29">
        <v>85</v>
      </c>
      <c r="E3" s="29">
        <v>260164</v>
      </c>
      <c r="F3" s="29">
        <v>104794</v>
      </c>
      <c r="G3" s="29">
        <v>42000</v>
      </c>
      <c r="H3" s="29">
        <v>113369</v>
      </c>
      <c r="I3" s="29">
        <v>8000</v>
      </c>
      <c r="J3" s="29">
        <v>5.4899999999999997E-2</v>
      </c>
      <c r="K3" s="29">
        <v>2</v>
      </c>
      <c r="L3" s="29">
        <v>0.99729999999999996</v>
      </c>
      <c r="M3" s="29" t="s">
        <v>112</v>
      </c>
    </row>
    <row r="4" spans="1:13" x14ac:dyDescent="0.35">
      <c r="A4" s="30">
        <v>45658</v>
      </c>
      <c r="B4" s="29" t="s">
        <v>17</v>
      </c>
      <c r="C4" s="29">
        <v>1714</v>
      </c>
      <c r="D4" s="29">
        <v>85</v>
      </c>
      <c r="E4" s="29">
        <v>145692</v>
      </c>
      <c r="F4" s="29">
        <v>62485</v>
      </c>
      <c r="G4" s="29">
        <v>30000</v>
      </c>
      <c r="H4" s="29">
        <v>53207</v>
      </c>
      <c r="I4" s="29">
        <v>8000</v>
      </c>
      <c r="J4" s="29">
        <v>5.4899999999999997E-2</v>
      </c>
      <c r="K4" s="29">
        <v>2</v>
      </c>
      <c r="L4" s="29">
        <v>0.99729999999999996</v>
      </c>
      <c r="M4" s="29" t="s">
        <v>112</v>
      </c>
    </row>
    <row r="5" spans="1:13" x14ac:dyDescent="0.35">
      <c r="A5" s="30">
        <v>45658</v>
      </c>
      <c r="B5" s="29" t="s">
        <v>20</v>
      </c>
      <c r="C5" s="29">
        <v>12220</v>
      </c>
      <c r="D5" s="29">
        <v>41.55</v>
      </c>
      <c r="E5" s="29">
        <v>507741</v>
      </c>
      <c r="F5" s="29">
        <v>283544</v>
      </c>
      <c r="G5" s="29">
        <v>65000</v>
      </c>
      <c r="H5" s="29">
        <v>159197</v>
      </c>
      <c r="I5" s="29">
        <v>175000</v>
      </c>
      <c r="J5" s="29">
        <v>0.2737</v>
      </c>
      <c r="K5" s="29">
        <v>6</v>
      </c>
      <c r="L5" s="29">
        <v>0.9919</v>
      </c>
      <c r="M5" s="29" t="s">
        <v>112</v>
      </c>
    </row>
    <row r="6" spans="1:13" x14ac:dyDescent="0.35">
      <c r="A6" s="30">
        <v>45658</v>
      </c>
      <c r="B6" s="29" t="s">
        <v>25</v>
      </c>
      <c r="C6" s="29">
        <v>2485</v>
      </c>
      <c r="D6" s="29">
        <v>118</v>
      </c>
      <c r="E6" s="29">
        <v>293225</v>
      </c>
      <c r="F6" s="29">
        <v>598917</v>
      </c>
      <c r="G6" s="29">
        <v>95000</v>
      </c>
      <c r="H6" s="29">
        <v>-400692</v>
      </c>
      <c r="I6" s="29">
        <v>650000</v>
      </c>
      <c r="J6" s="29">
        <v>0.16700000000000001</v>
      </c>
      <c r="K6" s="29">
        <v>12</v>
      </c>
      <c r="L6" s="29">
        <v>0.9839</v>
      </c>
      <c r="M6" s="29" t="s">
        <v>112</v>
      </c>
    </row>
    <row r="7" spans="1:13" x14ac:dyDescent="0.35">
      <c r="A7" s="30">
        <v>45689</v>
      </c>
      <c r="B7" s="29" t="s">
        <v>8</v>
      </c>
      <c r="C7" s="29">
        <v>56343.6</v>
      </c>
      <c r="D7" s="29">
        <v>88</v>
      </c>
      <c r="E7" s="29">
        <v>4958237</v>
      </c>
      <c r="F7" s="29">
        <v>1100749</v>
      </c>
      <c r="G7" s="29">
        <v>150000</v>
      </c>
      <c r="H7" s="29">
        <v>3707488</v>
      </c>
      <c r="I7" s="29">
        <v>60000</v>
      </c>
      <c r="J7" s="29">
        <v>0.46579999999999999</v>
      </c>
      <c r="K7" s="29">
        <v>6</v>
      </c>
      <c r="L7" s="29">
        <v>0.99109999999999998</v>
      </c>
      <c r="M7" s="29" t="s">
        <v>112</v>
      </c>
    </row>
    <row r="8" spans="1:13" x14ac:dyDescent="0.35">
      <c r="A8" s="30">
        <v>45689</v>
      </c>
      <c r="B8" s="29" t="s">
        <v>13</v>
      </c>
      <c r="C8" s="29">
        <v>3996</v>
      </c>
      <c r="D8" s="29">
        <v>81</v>
      </c>
      <c r="E8" s="29">
        <v>323676</v>
      </c>
      <c r="F8" s="29">
        <v>107787</v>
      </c>
      <c r="G8" s="29">
        <v>42000</v>
      </c>
      <c r="H8" s="29">
        <v>173889</v>
      </c>
      <c r="I8" s="29">
        <v>8000</v>
      </c>
      <c r="J8" s="29">
        <v>7.9299999999999995E-2</v>
      </c>
      <c r="K8" s="29">
        <v>6</v>
      </c>
      <c r="L8" s="29">
        <v>0.99109999999999998</v>
      </c>
      <c r="M8" s="29" t="s">
        <v>112</v>
      </c>
    </row>
    <row r="9" spans="1:13" x14ac:dyDescent="0.35">
      <c r="A9" s="30">
        <v>45689</v>
      </c>
      <c r="B9" s="29" t="s">
        <v>17</v>
      </c>
      <c r="C9" s="29">
        <v>2237.8000000000002</v>
      </c>
      <c r="D9" s="29">
        <v>81</v>
      </c>
      <c r="E9" s="29">
        <v>181259</v>
      </c>
      <c r="F9" s="29">
        <v>64161</v>
      </c>
      <c r="G9" s="29">
        <v>30000</v>
      </c>
      <c r="H9" s="29">
        <v>87098</v>
      </c>
      <c r="I9" s="29">
        <v>8000</v>
      </c>
      <c r="J9" s="29">
        <v>7.9299999999999995E-2</v>
      </c>
      <c r="K9" s="29">
        <v>6</v>
      </c>
      <c r="L9" s="29">
        <v>0.99109999999999998</v>
      </c>
      <c r="M9" s="29" t="s">
        <v>112</v>
      </c>
    </row>
    <row r="10" spans="1:13" x14ac:dyDescent="0.35">
      <c r="A10" s="30">
        <v>45689</v>
      </c>
      <c r="B10" s="29" t="s">
        <v>20</v>
      </c>
      <c r="C10" s="29">
        <v>12540</v>
      </c>
      <c r="D10" s="29">
        <v>42.1</v>
      </c>
      <c r="E10" s="29">
        <v>527934</v>
      </c>
      <c r="F10" s="29">
        <v>285208</v>
      </c>
      <c r="G10" s="29">
        <v>65000</v>
      </c>
      <c r="H10" s="29">
        <v>177726</v>
      </c>
      <c r="I10" s="29">
        <v>175000</v>
      </c>
      <c r="J10" s="29">
        <v>0.311</v>
      </c>
      <c r="K10" s="29">
        <v>6</v>
      </c>
      <c r="L10" s="29">
        <v>0.99109999999999998</v>
      </c>
      <c r="M10" s="29" t="s">
        <v>112</v>
      </c>
    </row>
    <row r="11" spans="1:13" x14ac:dyDescent="0.35">
      <c r="A11" s="30">
        <v>45689</v>
      </c>
      <c r="B11" s="29" t="s">
        <v>25</v>
      </c>
      <c r="C11" s="29">
        <v>2473</v>
      </c>
      <c r="D11" s="29">
        <v>118</v>
      </c>
      <c r="E11" s="29">
        <v>291809</v>
      </c>
      <c r="F11" s="29">
        <v>598053</v>
      </c>
      <c r="G11" s="29">
        <v>95000</v>
      </c>
      <c r="H11" s="29">
        <v>-401244</v>
      </c>
      <c r="I11" s="29">
        <v>650000</v>
      </c>
      <c r="J11" s="29">
        <v>0.184</v>
      </c>
      <c r="K11" s="29">
        <v>12</v>
      </c>
      <c r="L11" s="29">
        <v>0.98209999999999997</v>
      </c>
      <c r="M11" s="29" t="s">
        <v>112</v>
      </c>
    </row>
    <row r="12" spans="1:13" x14ac:dyDescent="0.35">
      <c r="A12" s="30">
        <v>45717</v>
      </c>
      <c r="B12" s="29" t="s">
        <v>8</v>
      </c>
      <c r="C12" s="29">
        <v>58449.599999999999</v>
      </c>
      <c r="D12" s="29">
        <v>82</v>
      </c>
      <c r="E12" s="29">
        <v>4792867</v>
      </c>
      <c r="F12" s="29">
        <v>1117597</v>
      </c>
      <c r="G12" s="29">
        <v>150000</v>
      </c>
      <c r="H12" s="29">
        <v>3525270</v>
      </c>
      <c r="I12" s="29">
        <v>60000</v>
      </c>
      <c r="J12" s="29">
        <v>0.4365</v>
      </c>
      <c r="K12" s="29">
        <v>6</v>
      </c>
      <c r="L12" s="29">
        <v>0.9919</v>
      </c>
      <c r="M12" s="29" t="s">
        <v>112</v>
      </c>
    </row>
    <row r="13" spans="1:13" x14ac:dyDescent="0.35">
      <c r="A13" s="30">
        <v>45717</v>
      </c>
      <c r="B13" s="29" t="s">
        <v>13</v>
      </c>
      <c r="C13" s="29">
        <v>6678</v>
      </c>
      <c r="D13" s="29">
        <v>75</v>
      </c>
      <c r="E13" s="29">
        <v>500850</v>
      </c>
      <c r="F13" s="29">
        <v>116370</v>
      </c>
      <c r="G13" s="29">
        <v>42000</v>
      </c>
      <c r="H13" s="29">
        <v>342480</v>
      </c>
      <c r="I13" s="29">
        <v>30000</v>
      </c>
      <c r="J13" s="29">
        <v>0.1197</v>
      </c>
      <c r="K13" s="29">
        <v>2</v>
      </c>
      <c r="L13" s="29">
        <v>0.99729999999999996</v>
      </c>
      <c r="M13" s="29" t="s">
        <v>112</v>
      </c>
    </row>
    <row r="14" spans="1:13" x14ac:dyDescent="0.35">
      <c r="A14" s="30">
        <v>45717</v>
      </c>
      <c r="B14" s="29" t="s">
        <v>17</v>
      </c>
      <c r="C14" s="29">
        <v>3739.7</v>
      </c>
      <c r="D14" s="29">
        <v>75</v>
      </c>
      <c r="E14" s="29">
        <v>280476</v>
      </c>
      <c r="F14" s="29">
        <v>68967</v>
      </c>
      <c r="G14" s="29">
        <v>30000</v>
      </c>
      <c r="H14" s="29">
        <v>181509</v>
      </c>
      <c r="I14" s="29">
        <v>30000</v>
      </c>
      <c r="J14" s="29">
        <v>0.1197</v>
      </c>
      <c r="K14" s="29">
        <v>2</v>
      </c>
      <c r="L14" s="29">
        <v>0.99729999999999996</v>
      </c>
      <c r="M14" s="29" t="s">
        <v>112</v>
      </c>
    </row>
    <row r="15" spans="1:13" x14ac:dyDescent="0.35">
      <c r="A15" s="30">
        <v>45717</v>
      </c>
      <c r="B15" s="29" t="s">
        <v>20</v>
      </c>
      <c r="C15" s="29">
        <v>11460</v>
      </c>
      <c r="D15" s="29">
        <v>37.65</v>
      </c>
      <c r="E15" s="29">
        <v>431469</v>
      </c>
      <c r="F15" s="29">
        <v>279592</v>
      </c>
      <c r="G15" s="29">
        <v>65000</v>
      </c>
      <c r="H15" s="29">
        <v>86877</v>
      </c>
      <c r="I15" s="29">
        <v>175000</v>
      </c>
      <c r="J15" s="29">
        <v>0.25669999999999998</v>
      </c>
      <c r="K15" s="29">
        <v>18</v>
      </c>
      <c r="L15" s="29">
        <v>0.9758</v>
      </c>
      <c r="M15" s="29" t="s">
        <v>112</v>
      </c>
    </row>
    <row r="16" spans="1:13" x14ac:dyDescent="0.35">
      <c r="A16" s="30">
        <v>45717</v>
      </c>
      <c r="B16" s="29" t="s">
        <v>25</v>
      </c>
      <c r="C16" s="29">
        <v>2990.9</v>
      </c>
      <c r="D16" s="29">
        <v>118</v>
      </c>
      <c r="E16" s="29">
        <v>352924</v>
      </c>
      <c r="F16" s="29">
        <v>635343</v>
      </c>
      <c r="G16" s="29">
        <v>95000</v>
      </c>
      <c r="H16" s="29">
        <v>-377420</v>
      </c>
      <c r="I16" s="29">
        <v>1000000</v>
      </c>
      <c r="J16" s="29">
        <v>0.20100000000000001</v>
      </c>
      <c r="K16" s="29">
        <v>12</v>
      </c>
      <c r="L16" s="29">
        <v>0.9839</v>
      </c>
      <c r="M16" s="29" t="s">
        <v>112</v>
      </c>
    </row>
    <row r="17" spans="1:13" x14ac:dyDescent="0.35">
      <c r="A17" s="30">
        <v>45748</v>
      </c>
      <c r="B17" s="29" t="s">
        <v>8</v>
      </c>
      <c r="C17" s="29">
        <v>47880</v>
      </c>
      <c r="D17" s="29">
        <v>76</v>
      </c>
      <c r="E17" s="29">
        <v>3638880</v>
      </c>
      <c r="F17" s="29">
        <v>1153040</v>
      </c>
      <c r="G17" s="29">
        <v>150000</v>
      </c>
      <c r="H17" s="29">
        <v>2335840</v>
      </c>
      <c r="I17" s="29">
        <v>250000</v>
      </c>
      <c r="J17" s="29">
        <v>0.36940000000000001</v>
      </c>
      <c r="K17" s="29">
        <v>20</v>
      </c>
      <c r="L17" s="29">
        <v>0.97219999999999995</v>
      </c>
      <c r="M17" s="29" t="s">
        <v>112</v>
      </c>
    </row>
    <row r="18" spans="1:13" x14ac:dyDescent="0.35">
      <c r="A18" s="30">
        <v>45748</v>
      </c>
      <c r="B18" s="29" t="s">
        <v>13</v>
      </c>
      <c r="C18" s="29">
        <v>8616</v>
      </c>
      <c r="D18" s="29">
        <v>69</v>
      </c>
      <c r="E18" s="29">
        <v>594504</v>
      </c>
      <c r="F18" s="29">
        <v>122571</v>
      </c>
      <c r="G18" s="29">
        <v>42000</v>
      </c>
      <c r="H18" s="29">
        <v>429933</v>
      </c>
      <c r="I18" s="29">
        <v>8000</v>
      </c>
      <c r="J18" s="29">
        <v>0.15959999999999999</v>
      </c>
      <c r="K18" s="29">
        <v>2</v>
      </c>
      <c r="L18" s="29">
        <v>0.99719999999999998</v>
      </c>
      <c r="M18" s="29" t="s">
        <v>112</v>
      </c>
    </row>
    <row r="19" spans="1:13" x14ac:dyDescent="0.35">
      <c r="A19" s="30">
        <v>45748</v>
      </c>
      <c r="B19" s="29" t="s">
        <v>17</v>
      </c>
      <c r="C19" s="29">
        <v>4825</v>
      </c>
      <c r="D19" s="29">
        <v>69</v>
      </c>
      <c r="E19" s="29">
        <v>332922</v>
      </c>
      <c r="F19" s="29">
        <v>72440</v>
      </c>
      <c r="G19" s="29">
        <v>30000</v>
      </c>
      <c r="H19" s="29">
        <v>230482</v>
      </c>
      <c r="I19" s="29">
        <v>8000</v>
      </c>
      <c r="J19" s="29">
        <v>0.15959999999999999</v>
      </c>
      <c r="K19" s="29">
        <v>2</v>
      </c>
      <c r="L19" s="29">
        <v>0.99719999999999998</v>
      </c>
      <c r="M19" s="29" t="s">
        <v>112</v>
      </c>
    </row>
    <row r="20" spans="1:13" x14ac:dyDescent="0.35">
      <c r="A20" s="30">
        <v>45748</v>
      </c>
      <c r="B20" s="29" t="s">
        <v>20</v>
      </c>
      <c r="C20" s="29">
        <v>11780</v>
      </c>
      <c r="D20" s="29">
        <v>38.200000000000003</v>
      </c>
      <c r="E20" s="29">
        <v>449996</v>
      </c>
      <c r="F20" s="29">
        <v>281256</v>
      </c>
      <c r="G20" s="29">
        <v>65000</v>
      </c>
      <c r="H20" s="29">
        <v>103740</v>
      </c>
      <c r="I20" s="29">
        <v>175000</v>
      </c>
      <c r="J20" s="29">
        <v>0.2727</v>
      </c>
      <c r="K20" s="29">
        <v>6</v>
      </c>
      <c r="L20" s="29">
        <v>0.99170000000000003</v>
      </c>
      <c r="M20" s="29" t="s">
        <v>112</v>
      </c>
    </row>
    <row r="21" spans="1:13" x14ac:dyDescent="0.35">
      <c r="A21" s="30">
        <v>45748</v>
      </c>
      <c r="B21" s="29" t="s">
        <v>25</v>
      </c>
      <c r="C21" s="29">
        <v>3139.2</v>
      </c>
      <c r="D21" s="29">
        <v>118</v>
      </c>
      <c r="E21" s="29">
        <v>370426</v>
      </c>
      <c r="F21" s="29">
        <v>646022</v>
      </c>
      <c r="G21" s="29">
        <v>95000</v>
      </c>
      <c r="H21" s="29">
        <v>-370597</v>
      </c>
      <c r="I21" s="29">
        <v>1000000</v>
      </c>
      <c r="J21" s="29">
        <v>0.218</v>
      </c>
      <c r="K21" s="29">
        <v>12</v>
      </c>
      <c r="L21" s="29">
        <v>0.98329999999999995</v>
      </c>
      <c r="M21" s="29" t="s">
        <v>112</v>
      </c>
    </row>
    <row r="22" spans="1:13" x14ac:dyDescent="0.35">
      <c r="A22" s="30">
        <v>45778</v>
      </c>
      <c r="B22" s="29" t="s">
        <v>8</v>
      </c>
      <c r="C22" s="29">
        <v>43837.2</v>
      </c>
      <c r="D22" s="29">
        <v>71</v>
      </c>
      <c r="E22" s="29">
        <v>3112441</v>
      </c>
      <c r="F22" s="29">
        <v>1000698</v>
      </c>
      <c r="G22" s="29">
        <v>150000</v>
      </c>
      <c r="H22" s="29">
        <v>1961744</v>
      </c>
      <c r="I22" s="29">
        <v>60000</v>
      </c>
      <c r="J22" s="29">
        <v>0.32729999999999998</v>
      </c>
      <c r="K22" s="29">
        <v>6</v>
      </c>
      <c r="L22" s="29">
        <v>0.9919</v>
      </c>
      <c r="M22" s="29" t="s">
        <v>112</v>
      </c>
    </row>
    <row r="23" spans="1:13" x14ac:dyDescent="0.35">
      <c r="A23" s="30">
        <v>45778</v>
      </c>
      <c r="B23" s="29" t="s">
        <v>13</v>
      </c>
      <c r="C23" s="29">
        <v>11130</v>
      </c>
      <c r="D23" s="29">
        <v>59</v>
      </c>
      <c r="E23" s="29">
        <v>656670</v>
      </c>
      <c r="F23" s="29">
        <v>130616</v>
      </c>
      <c r="G23" s="29">
        <v>42000</v>
      </c>
      <c r="H23" s="29">
        <v>484054</v>
      </c>
      <c r="I23" s="29">
        <v>8000</v>
      </c>
      <c r="J23" s="29">
        <v>0.19950000000000001</v>
      </c>
      <c r="K23" s="29">
        <v>2</v>
      </c>
      <c r="L23" s="29">
        <v>0.99729999999999996</v>
      </c>
      <c r="M23" s="29" t="s">
        <v>112</v>
      </c>
    </row>
    <row r="24" spans="1:13" x14ac:dyDescent="0.35">
      <c r="A24" s="30">
        <v>45778</v>
      </c>
      <c r="B24" s="29" t="s">
        <v>17</v>
      </c>
      <c r="C24" s="29">
        <v>6232.8</v>
      </c>
      <c r="D24" s="29">
        <v>59</v>
      </c>
      <c r="E24" s="29">
        <v>367735</v>
      </c>
      <c r="F24" s="29">
        <v>76945</v>
      </c>
      <c r="G24" s="29">
        <v>30000</v>
      </c>
      <c r="H24" s="29">
        <v>260790</v>
      </c>
      <c r="I24" s="29">
        <v>8000</v>
      </c>
      <c r="J24" s="29">
        <v>0.19950000000000001</v>
      </c>
      <c r="K24" s="29">
        <v>2</v>
      </c>
      <c r="L24" s="29">
        <v>0.99729999999999996</v>
      </c>
      <c r="M24" s="29" t="s">
        <v>112</v>
      </c>
    </row>
    <row r="25" spans="1:13" x14ac:dyDescent="0.35">
      <c r="A25" s="30">
        <v>45778</v>
      </c>
      <c r="B25" s="29" t="s">
        <v>20</v>
      </c>
      <c r="C25" s="29">
        <v>12100</v>
      </c>
      <c r="D25" s="29">
        <v>38.75</v>
      </c>
      <c r="E25" s="29">
        <v>468875</v>
      </c>
      <c r="F25" s="29">
        <v>282920</v>
      </c>
      <c r="G25" s="29">
        <v>65000</v>
      </c>
      <c r="H25" s="29">
        <v>120955</v>
      </c>
      <c r="I25" s="29">
        <v>175000</v>
      </c>
      <c r="J25" s="29">
        <v>0.27110000000000001</v>
      </c>
      <c r="K25" s="29">
        <v>6</v>
      </c>
      <c r="L25" s="29">
        <v>0.9919</v>
      </c>
      <c r="M25" s="29" t="s">
        <v>112</v>
      </c>
    </row>
    <row r="26" spans="1:13" x14ac:dyDescent="0.35">
      <c r="A26" s="30">
        <v>45778</v>
      </c>
      <c r="B26" s="29" t="s">
        <v>25</v>
      </c>
      <c r="C26" s="29">
        <v>3496.8</v>
      </c>
      <c r="D26" s="29">
        <v>118</v>
      </c>
      <c r="E26" s="29">
        <v>412622</v>
      </c>
      <c r="F26" s="29">
        <v>671770</v>
      </c>
      <c r="G26" s="29">
        <v>95000</v>
      </c>
      <c r="H26" s="29">
        <v>-354147</v>
      </c>
      <c r="I26" s="29">
        <v>1000000</v>
      </c>
      <c r="J26" s="29">
        <v>0.23499999999999999</v>
      </c>
      <c r="K26" s="29">
        <v>35</v>
      </c>
      <c r="L26" s="29">
        <v>0.95299999999999996</v>
      </c>
      <c r="M26" s="29" t="s">
        <v>112</v>
      </c>
    </row>
    <row r="27" spans="1:13" x14ac:dyDescent="0.35">
      <c r="A27" s="30">
        <v>45809</v>
      </c>
      <c r="B27" s="29" t="s">
        <v>8</v>
      </c>
      <c r="C27" s="29">
        <v>38556</v>
      </c>
      <c r="D27" s="29">
        <v>67</v>
      </c>
      <c r="E27" s="29">
        <v>2583252</v>
      </c>
      <c r="F27" s="29">
        <v>958448</v>
      </c>
      <c r="G27" s="29">
        <v>150000</v>
      </c>
      <c r="H27" s="29">
        <v>1474804</v>
      </c>
      <c r="I27" s="29">
        <v>60000</v>
      </c>
      <c r="J27" s="29">
        <v>0.29749999999999999</v>
      </c>
      <c r="K27" s="29">
        <v>6</v>
      </c>
      <c r="L27" s="29">
        <v>0.99170000000000003</v>
      </c>
      <c r="M27" s="29" t="s">
        <v>112</v>
      </c>
    </row>
    <row r="28" spans="1:13" x14ac:dyDescent="0.35">
      <c r="A28" s="30">
        <v>45809</v>
      </c>
      <c r="B28" s="29" t="s">
        <v>13</v>
      </c>
      <c r="C28" s="29">
        <v>12116.2</v>
      </c>
      <c r="D28" s="29">
        <v>55</v>
      </c>
      <c r="E28" s="29">
        <v>666394</v>
      </c>
      <c r="F28" s="29">
        <v>133772</v>
      </c>
      <c r="G28" s="29">
        <v>42000</v>
      </c>
      <c r="H28" s="29">
        <v>490622</v>
      </c>
      <c r="I28" s="29">
        <v>8000</v>
      </c>
      <c r="J28" s="29">
        <v>0.22439999999999999</v>
      </c>
      <c r="K28" s="29">
        <v>2</v>
      </c>
      <c r="L28" s="29">
        <v>0.99719999999999998</v>
      </c>
      <c r="M28" s="29" t="s">
        <v>112</v>
      </c>
    </row>
    <row r="29" spans="1:13" x14ac:dyDescent="0.35">
      <c r="A29" s="30">
        <v>45809</v>
      </c>
      <c r="B29" s="29" t="s">
        <v>17</v>
      </c>
      <c r="C29" s="29">
        <v>6785.1</v>
      </c>
      <c r="D29" s="29">
        <v>55</v>
      </c>
      <c r="E29" s="29">
        <v>373180</v>
      </c>
      <c r="F29" s="29">
        <v>78712</v>
      </c>
      <c r="G29" s="29">
        <v>30000</v>
      </c>
      <c r="H29" s="29">
        <v>264468</v>
      </c>
      <c r="I29" s="29">
        <v>8000</v>
      </c>
      <c r="J29" s="29">
        <v>0.22439999999999999</v>
      </c>
      <c r="K29" s="29">
        <v>2</v>
      </c>
      <c r="L29" s="29">
        <v>0.99719999999999998</v>
      </c>
      <c r="M29" s="29" t="s">
        <v>112</v>
      </c>
    </row>
    <row r="30" spans="1:13" x14ac:dyDescent="0.35">
      <c r="A30" s="30">
        <v>45809</v>
      </c>
      <c r="B30" s="29" t="s">
        <v>20</v>
      </c>
      <c r="C30" s="29">
        <v>12420</v>
      </c>
      <c r="D30" s="29">
        <v>39.299999999999997</v>
      </c>
      <c r="E30" s="29">
        <v>488106</v>
      </c>
      <c r="F30" s="29">
        <v>284584</v>
      </c>
      <c r="G30" s="29">
        <v>65000</v>
      </c>
      <c r="H30" s="29">
        <v>138522</v>
      </c>
      <c r="I30" s="29">
        <v>175000</v>
      </c>
      <c r="J30" s="29">
        <v>0.28749999999999998</v>
      </c>
      <c r="K30" s="29">
        <v>6</v>
      </c>
      <c r="L30" s="29">
        <v>0.99170000000000003</v>
      </c>
      <c r="M30" s="29" t="s">
        <v>112</v>
      </c>
    </row>
    <row r="31" spans="1:13" x14ac:dyDescent="0.35">
      <c r="A31" s="30">
        <v>45809</v>
      </c>
      <c r="B31" s="29" t="s">
        <v>25</v>
      </c>
      <c r="C31" s="29">
        <v>3628.8</v>
      </c>
      <c r="D31" s="29">
        <v>118</v>
      </c>
      <c r="E31" s="29">
        <v>428198</v>
      </c>
      <c r="F31" s="29">
        <v>681274</v>
      </c>
      <c r="G31" s="29">
        <v>95000</v>
      </c>
      <c r="H31" s="29">
        <v>-348075</v>
      </c>
      <c r="I31" s="29">
        <v>650000</v>
      </c>
      <c r="J31" s="29">
        <v>0.252</v>
      </c>
      <c r="K31" s="29">
        <v>12</v>
      </c>
      <c r="L31" s="29">
        <v>0.98329999999999995</v>
      </c>
      <c r="M31" s="29" t="s">
        <v>112</v>
      </c>
    </row>
    <row r="32" spans="1:13" x14ac:dyDescent="0.35">
      <c r="A32" s="30">
        <v>45839</v>
      </c>
      <c r="B32" s="29" t="s">
        <v>8</v>
      </c>
      <c r="C32" s="29">
        <v>38523.599999999999</v>
      </c>
      <c r="D32" s="29">
        <v>65</v>
      </c>
      <c r="E32" s="29">
        <v>2504034</v>
      </c>
      <c r="F32" s="29">
        <v>958189</v>
      </c>
      <c r="G32" s="29">
        <v>150000</v>
      </c>
      <c r="H32" s="29">
        <v>1395845</v>
      </c>
      <c r="I32" s="29">
        <v>60000</v>
      </c>
      <c r="J32" s="29">
        <v>0.28770000000000001</v>
      </c>
      <c r="K32" s="29">
        <v>6</v>
      </c>
      <c r="L32" s="29">
        <v>0.9919</v>
      </c>
      <c r="M32" s="29" t="s">
        <v>112</v>
      </c>
    </row>
    <row r="33" spans="1:13" x14ac:dyDescent="0.35">
      <c r="A33" s="30">
        <v>45839</v>
      </c>
      <c r="B33" s="29" t="s">
        <v>13</v>
      </c>
      <c r="C33" s="29">
        <v>12799.5</v>
      </c>
      <c r="D33" s="29">
        <v>53</v>
      </c>
      <c r="E33" s="29">
        <v>678374</v>
      </c>
      <c r="F33" s="29">
        <v>135958</v>
      </c>
      <c r="G33" s="29">
        <v>42000</v>
      </c>
      <c r="H33" s="29">
        <v>500415</v>
      </c>
      <c r="I33" s="29">
        <v>8000</v>
      </c>
      <c r="J33" s="29">
        <v>0.22939999999999999</v>
      </c>
      <c r="K33" s="29">
        <v>2</v>
      </c>
      <c r="L33" s="29">
        <v>0.99729999999999996</v>
      </c>
      <c r="M33" s="29" t="s">
        <v>112</v>
      </c>
    </row>
    <row r="34" spans="1:13" x14ac:dyDescent="0.35">
      <c r="A34" s="30">
        <v>45839</v>
      </c>
      <c r="B34" s="29" t="s">
        <v>17</v>
      </c>
      <c r="C34" s="29">
        <v>7167.7</v>
      </c>
      <c r="D34" s="29">
        <v>53</v>
      </c>
      <c r="E34" s="29">
        <v>379889</v>
      </c>
      <c r="F34" s="29">
        <v>79937</v>
      </c>
      <c r="G34" s="29">
        <v>30000</v>
      </c>
      <c r="H34" s="29">
        <v>269952</v>
      </c>
      <c r="I34" s="29">
        <v>8000</v>
      </c>
      <c r="J34" s="29">
        <v>0.22939999999999999</v>
      </c>
      <c r="K34" s="29">
        <v>2</v>
      </c>
      <c r="L34" s="29">
        <v>0.99729999999999996</v>
      </c>
      <c r="M34" s="29" t="s">
        <v>112</v>
      </c>
    </row>
    <row r="35" spans="1:13" x14ac:dyDescent="0.35">
      <c r="A35" s="30">
        <v>45839</v>
      </c>
      <c r="B35" s="29" t="s">
        <v>20</v>
      </c>
      <c r="C35" s="29">
        <v>12740</v>
      </c>
      <c r="D35" s="29">
        <v>39.85</v>
      </c>
      <c r="E35" s="29">
        <v>507689</v>
      </c>
      <c r="F35" s="29">
        <v>286248</v>
      </c>
      <c r="G35" s="29">
        <v>65000</v>
      </c>
      <c r="H35" s="29">
        <v>156441</v>
      </c>
      <c r="I35" s="29">
        <v>175000</v>
      </c>
      <c r="J35" s="29">
        <v>0.28539999999999999</v>
      </c>
      <c r="K35" s="29">
        <v>6</v>
      </c>
      <c r="L35" s="29">
        <v>0.9919</v>
      </c>
      <c r="M35" s="29" t="s">
        <v>112</v>
      </c>
    </row>
    <row r="36" spans="1:13" x14ac:dyDescent="0.35">
      <c r="A36" s="30">
        <v>45839</v>
      </c>
      <c r="B36" s="29" t="s">
        <v>25</v>
      </c>
      <c r="C36" s="29">
        <v>4002.7</v>
      </c>
      <c r="D36" s="29">
        <v>118</v>
      </c>
      <c r="E36" s="29">
        <v>472321</v>
      </c>
      <c r="F36" s="29">
        <v>708196</v>
      </c>
      <c r="G36" s="29">
        <v>95000</v>
      </c>
      <c r="H36" s="29">
        <v>-330875</v>
      </c>
      <c r="I36" s="29">
        <v>650000</v>
      </c>
      <c r="J36" s="29">
        <v>0.26900000000000002</v>
      </c>
      <c r="K36" s="29">
        <v>12</v>
      </c>
      <c r="L36" s="29">
        <v>0.9839</v>
      </c>
      <c r="M36" s="29" t="s">
        <v>112</v>
      </c>
    </row>
    <row r="37" spans="1:13" x14ac:dyDescent="0.35">
      <c r="A37" s="30">
        <v>45870</v>
      </c>
      <c r="B37" s="29" t="s">
        <v>8</v>
      </c>
      <c r="C37" s="29">
        <v>41180.400000000001</v>
      </c>
      <c r="D37" s="29">
        <v>68</v>
      </c>
      <c r="E37" s="29">
        <v>2800267</v>
      </c>
      <c r="F37" s="29">
        <v>979443</v>
      </c>
      <c r="G37" s="29">
        <v>150000</v>
      </c>
      <c r="H37" s="29">
        <v>1670824</v>
      </c>
      <c r="I37" s="29">
        <v>60000</v>
      </c>
      <c r="J37" s="29">
        <v>0.3075</v>
      </c>
      <c r="K37" s="29">
        <v>6</v>
      </c>
      <c r="L37" s="29">
        <v>0.9919</v>
      </c>
      <c r="M37" s="29" t="s">
        <v>112</v>
      </c>
    </row>
    <row r="38" spans="1:13" x14ac:dyDescent="0.35">
      <c r="A38" s="30">
        <v>45870</v>
      </c>
      <c r="B38" s="29" t="s">
        <v>13</v>
      </c>
      <c r="C38" s="29">
        <v>11408.2</v>
      </c>
      <c r="D38" s="29">
        <v>56</v>
      </c>
      <c r="E38" s="29">
        <v>638862</v>
      </c>
      <c r="F38" s="29">
        <v>131506</v>
      </c>
      <c r="G38" s="29">
        <v>42000</v>
      </c>
      <c r="H38" s="29">
        <v>465356</v>
      </c>
      <c r="I38" s="29">
        <v>8000</v>
      </c>
      <c r="J38" s="29">
        <v>0.2044</v>
      </c>
      <c r="K38" s="29">
        <v>2</v>
      </c>
      <c r="L38" s="29">
        <v>0.99729999999999996</v>
      </c>
      <c r="M38" s="29" t="s">
        <v>112</v>
      </c>
    </row>
    <row r="39" spans="1:13" x14ac:dyDescent="0.35">
      <c r="A39" s="30">
        <v>45870</v>
      </c>
      <c r="B39" s="29" t="s">
        <v>17</v>
      </c>
      <c r="C39" s="29">
        <v>6388.6</v>
      </c>
      <c r="D39" s="29">
        <v>56</v>
      </c>
      <c r="E39" s="29">
        <v>357763</v>
      </c>
      <c r="F39" s="29">
        <v>77444</v>
      </c>
      <c r="G39" s="29">
        <v>30000</v>
      </c>
      <c r="H39" s="29">
        <v>250319</v>
      </c>
      <c r="I39" s="29">
        <v>8000</v>
      </c>
      <c r="J39" s="29">
        <v>0.2044</v>
      </c>
      <c r="K39" s="29">
        <v>2</v>
      </c>
      <c r="L39" s="29">
        <v>0.99729999999999996</v>
      </c>
      <c r="M39" s="29" t="s">
        <v>112</v>
      </c>
    </row>
    <row r="40" spans="1:13" x14ac:dyDescent="0.35">
      <c r="A40" s="30">
        <v>45870</v>
      </c>
      <c r="B40" s="29" t="s">
        <v>20</v>
      </c>
      <c r="C40" s="29">
        <v>13060</v>
      </c>
      <c r="D40" s="29">
        <v>40.4</v>
      </c>
      <c r="E40" s="29">
        <v>527624</v>
      </c>
      <c r="F40" s="29">
        <v>287912</v>
      </c>
      <c r="G40" s="29">
        <v>65000</v>
      </c>
      <c r="H40" s="29">
        <v>174712</v>
      </c>
      <c r="I40" s="29">
        <v>175000</v>
      </c>
      <c r="J40" s="29">
        <v>0.29260000000000003</v>
      </c>
      <c r="K40" s="29">
        <v>6</v>
      </c>
      <c r="L40" s="29">
        <v>0.9919</v>
      </c>
      <c r="M40" s="29" t="s">
        <v>112</v>
      </c>
    </row>
    <row r="41" spans="1:13" x14ac:dyDescent="0.35">
      <c r="A41" s="30">
        <v>45870</v>
      </c>
      <c r="B41" s="29" t="s">
        <v>25</v>
      </c>
      <c r="C41" s="29">
        <v>4255.7</v>
      </c>
      <c r="D41" s="29">
        <v>118</v>
      </c>
      <c r="E41" s="29">
        <v>502170</v>
      </c>
      <c r="F41" s="29">
        <v>726409</v>
      </c>
      <c r="G41" s="29">
        <v>95000</v>
      </c>
      <c r="H41" s="29">
        <v>-319239</v>
      </c>
      <c r="I41" s="29">
        <v>650000</v>
      </c>
      <c r="J41" s="29">
        <v>0.28599999999999998</v>
      </c>
      <c r="K41" s="29">
        <v>12</v>
      </c>
      <c r="L41" s="29">
        <v>0.9839</v>
      </c>
      <c r="M41" s="29" t="s">
        <v>112</v>
      </c>
    </row>
    <row r="42" spans="1:13" x14ac:dyDescent="0.35">
      <c r="A42" s="30">
        <v>45901</v>
      </c>
      <c r="B42" s="29" t="s">
        <v>8</v>
      </c>
      <c r="C42" s="29">
        <v>46267.199999999997</v>
      </c>
      <c r="D42" s="29">
        <v>74</v>
      </c>
      <c r="E42" s="29">
        <v>3423773</v>
      </c>
      <c r="F42" s="29">
        <v>1020138</v>
      </c>
      <c r="G42" s="29">
        <v>150000</v>
      </c>
      <c r="H42" s="29">
        <v>2253635</v>
      </c>
      <c r="I42" s="29">
        <v>60000</v>
      </c>
      <c r="J42" s="29">
        <v>0.35699999999999998</v>
      </c>
      <c r="K42" s="29">
        <v>6</v>
      </c>
      <c r="L42" s="29">
        <v>0.99170000000000003</v>
      </c>
      <c r="M42" s="29" t="s">
        <v>112</v>
      </c>
    </row>
    <row r="43" spans="1:13" x14ac:dyDescent="0.35">
      <c r="A43" s="30">
        <v>45901</v>
      </c>
      <c r="B43" s="29" t="s">
        <v>13</v>
      </c>
      <c r="C43" s="29">
        <v>8346.7999999999993</v>
      </c>
      <c r="D43" s="29">
        <v>67</v>
      </c>
      <c r="E43" s="29">
        <v>559232</v>
      </c>
      <c r="F43" s="29">
        <v>121710</v>
      </c>
      <c r="G43" s="29">
        <v>42000</v>
      </c>
      <c r="H43" s="29">
        <v>395523</v>
      </c>
      <c r="I43" s="29">
        <v>30000</v>
      </c>
      <c r="J43" s="29">
        <v>0.15459999999999999</v>
      </c>
      <c r="K43" s="29">
        <v>2</v>
      </c>
      <c r="L43" s="29">
        <v>0.99719999999999998</v>
      </c>
      <c r="M43" s="29" t="s">
        <v>112</v>
      </c>
    </row>
    <row r="44" spans="1:13" x14ac:dyDescent="0.35">
      <c r="A44" s="30">
        <v>45901</v>
      </c>
      <c r="B44" s="29" t="s">
        <v>17</v>
      </c>
      <c r="C44" s="29">
        <v>4674.2</v>
      </c>
      <c r="D44" s="29">
        <v>67</v>
      </c>
      <c r="E44" s="29">
        <v>313170</v>
      </c>
      <c r="F44" s="29">
        <v>71957</v>
      </c>
      <c r="G44" s="29">
        <v>30000</v>
      </c>
      <c r="H44" s="29">
        <v>211213</v>
      </c>
      <c r="I44" s="29">
        <v>30000</v>
      </c>
      <c r="J44" s="29">
        <v>0.15459999999999999</v>
      </c>
      <c r="K44" s="29">
        <v>2</v>
      </c>
      <c r="L44" s="29">
        <v>0.99719999999999998</v>
      </c>
      <c r="M44" s="29" t="s">
        <v>112</v>
      </c>
    </row>
    <row r="45" spans="1:13" x14ac:dyDescent="0.35">
      <c r="A45" s="30">
        <v>45901</v>
      </c>
      <c r="B45" s="29" t="s">
        <v>20</v>
      </c>
      <c r="C45" s="29">
        <v>13380</v>
      </c>
      <c r="D45" s="29">
        <v>40.950000000000003</v>
      </c>
      <c r="E45" s="29">
        <v>547911</v>
      </c>
      <c r="F45" s="29">
        <v>289576</v>
      </c>
      <c r="G45" s="29">
        <v>65000</v>
      </c>
      <c r="H45" s="29">
        <v>193335</v>
      </c>
      <c r="I45" s="29">
        <v>70000</v>
      </c>
      <c r="J45" s="29">
        <v>0.30969999999999998</v>
      </c>
      <c r="K45" s="29">
        <v>18</v>
      </c>
      <c r="L45" s="29">
        <v>0.97499999999999998</v>
      </c>
      <c r="M45" s="29" t="s">
        <v>112</v>
      </c>
    </row>
    <row r="46" spans="1:13" x14ac:dyDescent="0.35">
      <c r="A46" s="30">
        <v>45901</v>
      </c>
      <c r="B46" s="29" t="s">
        <v>25</v>
      </c>
      <c r="C46" s="29">
        <v>4363.2</v>
      </c>
      <c r="D46" s="29">
        <v>118</v>
      </c>
      <c r="E46" s="29">
        <v>514858</v>
      </c>
      <c r="F46" s="29">
        <v>734150</v>
      </c>
      <c r="G46" s="29">
        <v>95000</v>
      </c>
      <c r="H46" s="29">
        <v>-314293</v>
      </c>
      <c r="I46" s="29">
        <v>650000</v>
      </c>
      <c r="J46" s="29">
        <v>0.30299999999999999</v>
      </c>
      <c r="K46" s="29">
        <v>12</v>
      </c>
      <c r="L46" s="29">
        <v>0.98329999999999995</v>
      </c>
      <c r="M46" s="29" t="s">
        <v>112</v>
      </c>
    </row>
    <row r="47" spans="1:13" x14ac:dyDescent="0.35">
      <c r="A47" s="30">
        <v>45931</v>
      </c>
      <c r="B47" s="29" t="s">
        <v>8</v>
      </c>
      <c r="C47" s="29">
        <v>54734.400000000001</v>
      </c>
      <c r="D47" s="29">
        <v>82</v>
      </c>
      <c r="E47" s="29">
        <v>4488221</v>
      </c>
      <c r="F47" s="29">
        <v>1207875</v>
      </c>
      <c r="G47" s="29">
        <v>150000</v>
      </c>
      <c r="H47" s="29">
        <v>3130346</v>
      </c>
      <c r="I47" s="29">
        <v>250000</v>
      </c>
      <c r="J47" s="29">
        <v>0.40870000000000001</v>
      </c>
      <c r="K47" s="29">
        <v>20</v>
      </c>
      <c r="L47" s="29">
        <v>0.97309999999999997</v>
      </c>
      <c r="M47" s="29" t="s">
        <v>112</v>
      </c>
    </row>
    <row r="48" spans="1:13" x14ac:dyDescent="0.35">
      <c r="A48" s="30">
        <v>45931</v>
      </c>
      <c r="B48" s="29" t="s">
        <v>13</v>
      </c>
      <c r="C48" s="29">
        <v>5843.2</v>
      </c>
      <c r="D48" s="29">
        <v>75</v>
      </c>
      <c r="E48" s="29">
        <v>438244</v>
      </c>
      <c r="F48" s="29">
        <v>113698</v>
      </c>
      <c r="G48" s="29">
        <v>42000</v>
      </c>
      <c r="H48" s="29">
        <v>282545</v>
      </c>
      <c r="I48" s="29">
        <v>8000</v>
      </c>
      <c r="J48" s="29">
        <v>0.1047</v>
      </c>
      <c r="K48" s="29">
        <v>2</v>
      </c>
      <c r="L48" s="29">
        <v>0.99729999999999996</v>
      </c>
      <c r="M48" s="29" t="s">
        <v>112</v>
      </c>
    </row>
    <row r="49" spans="1:13" x14ac:dyDescent="0.35">
      <c r="A49" s="30">
        <v>45931</v>
      </c>
      <c r="B49" s="29" t="s">
        <v>17</v>
      </c>
      <c r="C49" s="29">
        <v>3272.2</v>
      </c>
      <c r="D49" s="29">
        <v>75</v>
      </c>
      <c r="E49" s="29">
        <v>245416</v>
      </c>
      <c r="F49" s="29">
        <v>67471</v>
      </c>
      <c r="G49" s="29">
        <v>30000</v>
      </c>
      <c r="H49" s="29">
        <v>147945</v>
      </c>
      <c r="I49" s="29">
        <v>8000</v>
      </c>
      <c r="J49" s="29">
        <v>0.1047</v>
      </c>
      <c r="K49" s="29">
        <v>2</v>
      </c>
      <c r="L49" s="29">
        <v>0.99729999999999996</v>
      </c>
      <c r="M49" s="29" t="s">
        <v>112</v>
      </c>
    </row>
    <row r="50" spans="1:13" x14ac:dyDescent="0.35">
      <c r="A50" s="30">
        <v>45931</v>
      </c>
      <c r="B50" s="29" t="s">
        <v>20</v>
      </c>
      <c r="C50" s="29">
        <v>13700</v>
      </c>
      <c r="D50" s="29">
        <v>41.5</v>
      </c>
      <c r="E50" s="29">
        <v>568550</v>
      </c>
      <c r="F50" s="29">
        <v>291240</v>
      </c>
      <c r="G50" s="29">
        <v>65000</v>
      </c>
      <c r="H50" s="29">
        <v>212310</v>
      </c>
      <c r="I50" s="29">
        <v>70000</v>
      </c>
      <c r="J50" s="29">
        <v>0.30690000000000001</v>
      </c>
      <c r="K50" s="29">
        <v>6</v>
      </c>
      <c r="L50" s="29">
        <v>0.9919</v>
      </c>
      <c r="M50" s="29" t="s">
        <v>112</v>
      </c>
    </row>
    <row r="51" spans="1:13" x14ac:dyDescent="0.35">
      <c r="A51" s="30">
        <v>45931</v>
      </c>
      <c r="B51" s="29" t="s">
        <v>25</v>
      </c>
      <c r="C51" s="29">
        <v>4761.6000000000004</v>
      </c>
      <c r="D51" s="29">
        <v>118</v>
      </c>
      <c r="E51" s="29">
        <v>561869</v>
      </c>
      <c r="F51" s="29">
        <v>762835</v>
      </c>
      <c r="G51" s="29">
        <v>95000</v>
      </c>
      <c r="H51" s="29">
        <v>-295966</v>
      </c>
      <c r="I51" s="29">
        <v>650000</v>
      </c>
      <c r="J51" s="29">
        <v>0.32</v>
      </c>
      <c r="K51" s="29">
        <v>12</v>
      </c>
      <c r="L51" s="29">
        <v>0.9839</v>
      </c>
      <c r="M51" s="29" t="s">
        <v>112</v>
      </c>
    </row>
    <row r="52" spans="1:13" x14ac:dyDescent="0.35">
      <c r="A52" s="30">
        <v>45962</v>
      </c>
      <c r="B52" s="29" t="s">
        <v>8</v>
      </c>
      <c r="C52" s="29">
        <v>60404.4</v>
      </c>
      <c r="D52" s="29">
        <v>88</v>
      </c>
      <c r="E52" s="29">
        <v>5315587</v>
      </c>
      <c r="F52" s="29">
        <v>1133235</v>
      </c>
      <c r="G52" s="29">
        <v>150000</v>
      </c>
      <c r="H52" s="29">
        <v>4032352</v>
      </c>
      <c r="I52" s="29">
        <v>60000</v>
      </c>
      <c r="J52" s="29">
        <v>0.46610000000000001</v>
      </c>
      <c r="K52" s="29">
        <v>6</v>
      </c>
      <c r="L52" s="29">
        <v>0.99170000000000003</v>
      </c>
      <c r="M52" s="29" t="s">
        <v>112</v>
      </c>
    </row>
    <row r="53" spans="1:13" x14ac:dyDescent="0.35">
      <c r="A53" s="30">
        <v>45962</v>
      </c>
      <c r="B53" s="29" t="s">
        <v>13</v>
      </c>
      <c r="C53" s="29">
        <v>3480.8</v>
      </c>
      <c r="D53" s="29">
        <v>81</v>
      </c>
      <c r="E53" s="29">
        <v>281941</v>
      </c>
      <c r="F53" s="29">
        <v>106138</v>
      </c>
      <c r="G53" s="29">
        <v>42000</v>
      </c>
      <c r="H53" s="29">
        <v>133802</v>
      </c>
      <c r="I53" s="29">
        <v>8000</v>
      </c>
      <c r="J53" s="29">
        <v>6.4500000000000002E-2</v>
      </c>
      <c r="K53" s="29">
        <v>6</v>
      </c>
      <c r="L53" s="29">
        <v>0.99170000000000003</v>
      </c>
      <c r="M53" s="29" t="s">
        <v>112</v>
      </c>
    </row>
    <row r="54" spans="1:13" x14ac:dyDescent="0.35">
      <c r="A54" s="30">
        <v>45962</v>
      </c>
      <c r="B54" s="29" t="s">
        <v>17</v>
      </c>
      <c r="C54" s="29">
        <v>1949.2</v>
      </c>
      <c r="D54" s="29">
        <v>81</v>
      </c>
      <c r="E54" s="29">
        <v>157887</v>
      </c>
      <c r="F54" s="29">
        <v>63238</v>
      </c>
      <c r="G54" s="29">
        <v>30000</v>
      </c>
      <c r="H54" s="29">
        <v>64649</v>
      </c>
      <c r="I54" s="29">
        <v>8000</v>
      </c>
      <c r="J54" s="29">
        <v>6.4500000000000002E-2</v>
      </c>
      <c r="K54" s="29">
        <v>6</v>
      </c>
      <c r="L54" s="29">
        <v>0.99170000000000003</v>
      </c>
      <c r="M54" s="29" t="s">
        <v>112</v>
      </c>
    </row>
    <row r="55" spans="1:13" x14ac:dyDescent="0.35">
      <c r="A55" s="30">
        <v>45962</v>
      </c>
      <c r="B55" s="29" t="s">
        <v>20</v>
      </c>
      <c r="C55" s="29">
        <v>15420</v>
      </c>
      <c r="D55" s="29">
        <v>47.05</v>
      </c>
      <c r="E55" s="29">
        <v>725511</v>
      </c>
      <c r="F55" s="29">
        <v>300184</v>
      </c>
      <c r="G55" s="29">
        <v>65000</v>
      </c>
      <c r="H55" s="29">
        <v>360327</v>
      </c>
      <c r="I55" s="29">
        <v>70000</v>
      </c>
      <c r="J55" s="29">
        <v>0.3569</v>
      </c>
      <c r="K55" s="29">
        <v>6</v>
      </c>
      <c r="L55" s="29">
        <v>0.99170000000000003</v>
      </c>
      <c r="M55" s="29" t="s">
        <v>112</v>
      </c>
    </row>
    <row r="56" spans="1:13" x14ac:dyDescent="0.35">
      <c r="A56" s="30">
        <v>45962</v>
      </c>
      <c r="B56" s="29" t="s">
        <v>25</v>
      </c>
      <c r="C56" s="29">
        <v>4852.8</v>
      </c>
      <c r="D56" s="29">
        <v>118</v>
      </c>
      <c r="E56" s="29">
        <v>572630</v>
      </c>
      <c r="F56" s="29">
        <v>769402</v>
      </c>
      <c r="G56" s="29">
        <v>95000</v>
      </c>
      <c r="H56" s="29">
        <v>-291771</v>
      </c>
      <c r="I56" s="29">
        <v>650000</v>
      </c>
      <c r="J56" s="29">
        <v>0.33700000000000002</v>
      </c>
      <c r="K56" s="29">
        <v>35</v>
      </c>
      <c r="L56" s="29">
        <v>0.95140000000000002</v>
      </c>
      <c r="M56" s="29" t="s">
        <v>112</v>
      </c>
    </row>
    <row r="57" spans="1:13" x14ac:dyDescent="0.35">
      <c r="A57" s="30">
        <v>45992</v>
      </c>
      <c r="B57" s="29" t="s">
        <v>8</v>
      </c>
      <c r="C57" s="29">
        <v>67748.399999999994</v>
      </c>
      <c r="D57" s="29">
        <v>94</v>
      </c>
      <c r="E57" s="29">
        <v>6368350</v>
      </c>
      <c r="F57" s="29">
        <v>1191987</v>
      </c>
      <c r="G57" s="29">
        <v>150000</v>
      </c>
      <c r="H57" s="29">
        <v>5026362</v>
      </c>
      <c r="I57" s="29">
        <v>60000</v>
      </c>
      <c r="J57" s="29">
        <v>0.50590000000000002</v>
      </c>
      <c r="K57" s="29">
        <v>6</v>
      </c>
      <c r="L57" s="29">
        <v>0.9919</v>
      </c>
      <c r="M57" s="29" t="s">
        <v>112</v>
      </c>
    </row>
    <row r="58" spans="1:13" x14ac:dyDescent="0.35">
      <c r="A58" s="30">
        <v>45992</v>
      </c>
      <c r="B58" s="29" t="s">
        <v>13</v>
      </c>
      <c r="C58" s="29">
        <v>2782.5</v>
      </c>
      <c r="D58" s="29">
        <v>87</v>
      </c>
      <c r="E58" s="29">
        <v>242078</v>
      </c>
      <c r="F58" s="29">
        <v>103904</v>
      </c>
      <c r="G58" s="29">
        <v>42000</v>
      </c>
      <c r="H58" s="29">
        <v>96174</v>
      </c>
      <c r="I58" s="29">
        <v>8000</v>
      </c>
      <c r="J58" s="29">
        <v>4.99E-2</v>
      </c>
      <c r="K58" s="29">
        <v>2</v>
      </c>
      <c r="L58" s="29">
        <v>0.99729999999999996</v>
      </c>
      <c r="M58" s="29" t="s">
        <v>112</v>
      </c>
    </row>
    <row r="59" spans="1:13" x14ac:dyDescent="0.35">
      <c r="A59" s="30">
        <v>45992</v>
      </c>
      <c r="B59" s="29" t="s">
        <v>17</v>
      </c>
      <c r="C59" s="29">
        <v>1558.2</v>
      </c>
      <c r="D59" s="29">
        <v>87</v>
      </c>
      <c r="E59" s="29">
        <v>135563</v>
      </c>
      <c r="F59" s="29">
        <v>61986</v>
      </c>
      <c r="G59" s="29">
        <v>30000</v>
      </c>
      <c r="H59" s="29">
        <v>43577</v>
      </c>
      <c r="I59" s="29">
        <v>8000</v>
      </c>
      <c r="J59" s="29">
        <v>4.99E-2</v>
      </c>
      <c r="K59" s="29">
        <v>2</v>
      </c>
      <c r="L59" s="29">
        <v>0.99729999999999996</v>
      </c>
      <c r="M59" s="29" t="s">
        <v>112</v>
      </c>
    </row>
    <row r="60" spans="1:13" x14ac:dyDescent="0.35">
      <c r="A60" s="30">
        <v>45992</v>
      </c>
      <c r="B60" s="29" t="s">
        <v>20</v>
      </c>
      <c r="C60" s="29">
        <v>15740</v>
      </c>
      <c r="D60" s="29">
        <v>47.6</v>
      </c>
      <c r="E60" s="29">
        <v>749224</v>
      </c>
      <c r="F60" s="29">
        <v>301848</v>
      </c>
      <c r="G60" s="29">
        <v>65000</v>
      </c>
      <c r="H60" s="29">
        <v>382376</v>
      </c>
      <c r="I60" s="29">
        <v>70000</v>
      </c>
      <c r="J60" s="29">
        <v>0.35260000000000002</v>
      </c>
      <c r="K60" s="29">
        <v>6</v>
      </c>
      <c r="L60" s="29">
        <v>0.9919</v>
      </c>
      <c r="M60" s="29" t="s">
        <v>112</v>
      </c>
    </row>
    <row r="61" spans="1:13" x14ac:dyDescent="0.35">
      <c r="A61" s="30">
        <v>45992</v>
      </c>
      <c r="B61" s="29" t="s">
        <v>25</v>
      </c>
      <c r="C61" s="29">
        <v>5267.5</v>
      </c>
      <c r="D61" s="29">
        <v>118</v>
      </c>
      <c r="E61" s="29">
        <v>621567</v>
      </c>
      <c r="F61" s="29">
        <v>799261</v>
      </c>
      <c r="G61" s="29">
        <v>95000</v>
      </c>
      <c r="H61" s="29">
        <v>-272694</v>
      </c>
      <c r="I61" s="29">
        <v>650000</v>
      </c>
      <c r="J61" s="29">
        <v>0.35399999999999998</v>
      </c>
      <c r="K61" s="29">
        <v>12</v>
      </c>
      <c r="L61" s="29">
        <v>0.9839</v>
      </c>
      <c r="M61" s="29" t="s">
        <v>112</v>
      </c>
    </row>
    <row r="62" spans="1:13" x14ac:dyDescent="0.35">
      <c r="A62" s="30">
        <v>46023</v>
      </c>
      <c r="B62" s="29" t="s">
        <v>8</v>
      </c>
      <c r="C62" s="29">
        <v>66420</v>
      </c>
      <c r="D62" s="29">
        <v>88.48</v>
      </c>
      <c r="E62" s="29">
        <v>5876842</v>
      </c>
      <c r="F62" s="29">
        <v>1181360</v>
      </c>
      <c r="G62" s="29">
        <v>150000</v>
      </c>
      <c r="H62" s="29">
        <v>4545482</v>
      </c>
      <c r="I62" s="29">
        <v>60000</v>
      </c>
      <c r="J62" s="29">
        <v>0.496</v>
      </c>
      <c r="K62" s="29">
        <v>6</v>
      </c>
      <c r="L62" s="29">
        <v>0.9919</v>
      </c>
      <c r="M62" s="29" t="s">
        <v>112</v>
      </c>
    </row>
    <row r="63" spans="1:13" x14ac:dyDescent="0.35">
      <c r="A63" s="30">
        <v>46023</v>
      </c>
      <c r="B63" s="29" t="s">
        <v>13</v>
      </c>
      <c r="C63" s="29">
        <v>3060.8</v>
      </c>
      <c r="D63" s="29">
        <v>81.48</v>
      </c>
      <c r="E63" s="29">
        <v>249390</v>
      </c>
      <c r="F63" s="29">
        <v>104794</v>
      </c>
      <c r="G63" s="29">
        <v>42000</v>
      </c>
      <c r="H63" s="29">
        <v>102596</v>
      </c>
      <c r="I63" s="29">
        <v>8000</v>
      </c>
      <c r="J63" s="29">
        <v>5.4899999999999997E-2</v>
      </c>
      <c r="K63" s="29">
        <v>2</v>
      </c>
      <c r="L63" s="29">
        <v>0.99729999999999996</v>
      </c>
      <c r="M63" s="29" t="s">
        <v>112</v>
      </c>
    </row>
    <row r="64" spans="1:13" x14ac:dyDescent="0.35">
      <c r="A64" s="30">
        <v>46023</v>
      </c>
      <c r="B64" s="29" t="s">
        <v>17</v>
      </c>
      <c r="C64" s="29">
        <v>1714</v>
      </c>
      <c r="D64" s="29">
        <v>81.48</v>
      </c>
      <c r="E64" s="29">
        <v>139658</v>
      </c>
      <c r="F64" s="29">
        <v>62485</v>
      </c>
      <c r="G64" s="29">
        <v>30000</v>
      </c>
      <c r="H64" s="29">
        <v>47173</v>
      </c>
      <c r="I64" s="29">
        <v>8000</v>
      </c>
      <c r="J64" s="29">
        <v>5.4899999999999997E-2</v>
      </c>
      <c r="K64" s="29">
        <v>2</v>
      </c>
      <c r="L64" s="29">
        <v>0.99729999999999996</v>
      </c>
      <c r="M64" s="29" t="s">
        <v>112</v>
      </c>
    </row>
    <row r="65" spans="1:13" x14ac:dyDescent="0.35">
      <c r="A65" s="30">
        <v>46023</v>
      </c>
      <c r="B65" s="29" t="s">
        <v>20</v>
      </c>
      <c r="C65" s="29">
        <v>16060</v>
      </c>
      <c r="D65" s="29">
        <v>48.15</v>
      </c>
      <c r="E65" s="29">
        <v>773289</v>
      </c>
      <c r="F65" s="29">
        <v>303512</v>
      </c>
      <c r="G65" s="29">
        <v>65000</v>
      </c>
      <c r="H65" s="29">
        <v>404777</v>
      </c>
      <c r="I65" s="29">
        <v>70000</v>
      </c>
      <c r="J65" s="29">
        <v>0.35980000000000001</v>
      </c>
      <c r="K65" s="29">
        <v>6</v>
      </c>
      <c r="L65" s="29">
        <v>0.9919</v>
      </c>
      <c r="M65" s="29" t="s">
        <v>112</v>
      </c>
    </row>
    <row r="66" spans="1:13" x14ac:dyDescent="0.35">
      <c r="A66" s="30">
        <v>46023</v>
      </c>
      <c r="B66" s="29" t="s">
        <v>25</v>
      </c>
      <c r="C66" s="29">
        <v>5520.5</v>
      </c>
      <c r="D66" s="29">
        <v>118</v>
      </c>
      <c r="E66" s="29">
        <v>651417</v>
      </c>
      <c r="F66" s="29">
        <v>817475</v>
      </c>
      <c r="G66" s="29">
        <v>95000</v>
      </c>
      <c r="H66" s="29">
        <v>-261058</v>
      </c>
      <c r="I66" s="29">
        <v>420000</v>
      </c>
      <c r="J66" s="29">
        <v>0.371</v>
      </c>
      <c r="K66" s="29">
        <v>12</v>
      </c>
      <c r="L66" s="29">
        <v>0.9839</v>
      </c>
      <c r="M66" s="29" t="s">
        <v>112</v>
      </c>
    </row>
    <row r="67" spans="1:13" x14ac:dyDescent="0.35">
      <c r="A67" s="30">
        <v>46054</v>
      </c>
      <c r="B67" s="29" t="s">
        <v>8</v>
      </c>
      <c r="C67" s="29">
        <v>56343.6</v>
      </c>
      <c r="D67" s="29">
        <v>84.64</v>
      </c>
      <c r="E67" s="29">
        <v>4768922</v>
      </c>
      <c r="F67" s="29">
        <v>1100749</v>
      </c>
      <c r="G67" s="29">
        <v>150000</v>
      </c>
      <c r="H67" s="29">
        <v>3518174</v>
      </c>
      <c r="I67" s="29">
        <v>60000</v>
      </c>
      <c r="J67" s="29">
        <v>0.46579999999999999</v>
      </c>
      <c r="K67" s="29">
        <v>6</v>
      </c>
      <c r="L67" s="29">
        <v>0.99109999999999998</v>
      </c>
      <c r="M67" s="29" t="s">
        <v>112</v>
      </c>
    </row>
    <row r="68" spans="1:13" x14ac:dyDescent="0.35">
      <c r="A68" s="30">
        <v>46054</v>
      </c>
      <c r="B68" s="29" t="s">
        <v>13</v>
      </c>
      <c r="C68" s="29">
        <v>3996</v>
      </c>
      <c r="D68" s="29">
        <v>77.64</v>
      </c>
      <c r="E68" s="29">
        <v>310249</v>
      </c>
      <c r="F68" s="29">
        <v>107787</v>
      </c>
      <c r="G68" s="29">
        <v>42000</v>
      </c>
      <c r="H68" s="29">
        <v>160462</v>
      </c>
      <c r="I68" s="29">
        <v>8000</v>
      </c>
      <c r="J68" s="29">
        <v>7.9299999999999995E-2</v>
      </c>
      <c r="K68" s="29">
        <v>6</v>
      </c>
      <c r="L68" s="29">
        <v>0.99109999999999998</v>
      </c>
      <c r="M68" s="29" t="s">
        <v>112</v>
      </c>
    </row>
    <row r="69" spans="1:13" x14ac:dyDescent="0.35">
      <c r="A69" s="30">
        <v>46054</v>
      </c>
      <c r="B69" s="29" t="s">
        <v>17</v>
      </c>
      <c r="C69" s="29">
        <v>2237.8000000000002</v>
      </c>
      <c r="D69" s="29">
        <v>77.64</v>
      </c>
      <c r="E69" s="29">
        <v>173740</v>
      </c>
      <c r="F69" s="29">
        <v>64161</v>
      </c>
      <c r="G69" s="29">
        <v>30000</v>
      </c>
      <c r="H69" s="29">
        <v>79579</v>
      </c>
      <c r="I69" s="29">
        <v>8000</v>
      </c>
      <c r="J69" s="29">
        <v>7.9299999999999995E-2</v>
      </c>
      <c r="K69" s="29">
        <v>6</v>
      </c>
      <c r="L69" s="29">
        <v>0.99109999999999998</v>
      </c>
      <c r="M69" s="29" t="s">
        <v>112</v>
      </c>
    </row>
    <row r="70" spans="1:13" x14ac:dyDescent="0.35">
      <c r="A70" s="30">
        <v>46054</v>
      </c>
      <c r="B70" s="29" t="s">
        <v>20</v>
      </c>
      <c r="C70" s="29">
        <v>16380</v>
      </c>
      <c r="D70" s="29">
        <v>48.7</v>
      </c>
      <c r="E70" s="29">
        <v>797706</v>
      </c>
      <c r="F70" s="29">
        <v>305176</v>
      </c>
      <c r="G70" s="29">
        <v>65000</v>
      </c>
      <c r="H70" s="29">
        <v>427530</v>
      </c>
      <c r="I70" s="29">
        <v>70000</v>
      </c>
      <c r="J70" s="29">
        <v>0.40620000000000001</v>
      </c>
      <c r="K70" s="29">
        <v>6</v>
      </c>
      <c r="L70" s="29">
        <v>0.99109999999999998</v>
      </c>
      <c r="M70" s="29" t="s">
        <v>112</v>
      </c>
    </row>
    <row r="71" spans="1:13" x14ac:dyDescent="0.35">
      <c r="A71" s="30">
        <v>46054</v>
      </c>
      <c r="B71" s="29" t="s">
        <v>25</v>
      </c>
      <c r="C71" s="29">
        <v>5214.7</v>
      </c>
      <c r="D71" s="29">
        <v>118</v>
      </c>
      <c r="E71" s="29">
        <v>615337</v>
      </c>
      <c r="F71" s="29">
        <v>795460</v>
      </c>
      <c r="G71" s="29">
        <v>95000</v>
      </c>
      <c r="H71" s="29">
        <v>-275123</v>
      </c>
      <c r="I71" s="29">
        <v>420000</v>
      </c>
      <c r="J71" s="29">
        <v>0.38800000000000001</v>
      </c>
      <c r="K71" s="29">
        <v>12</v>
      </c>
      <c r="L71" s="29">
        <v>0.98209999999999997</v>
      </c>
      <c r="M71" s="29" t="s">
        <v>112</v>
      </c>
    </row>
    <row r="72" spans="1:13" x14ac:dyDescent="0.35">
      <c r="A72" s="30">
        <v>46082</v>
      </c>
      <c r="B72" s="29" t="s">
        <v>8</v>
      </c>
      <c r="C72" s="29">
        <v>58449.599999999999</v>
      </c>
      <c r="D72" s="29">
        <v>78.88</v>
      </c>
      <c r="E72" s="29">
        <v>4610504</v>
      </c>
      <c r="F72" s="29">
        <v>1117597</v>
      </c>
      <c r="G72" s="29">
        <v>150000</v>
      </c>
      <c r="H72" s="29">
        <v>3342908</v>
      </c>
      <c r="I72" s="29">
        <v>60000</v>
      </c>
      <c r="J72" s="29">
        <v>0.4365</v>
      </c>
      <c r="K72" s="29">
        <v>6</v>
      </c>
      <c r="L72" s="29">
        <v>0.9919</v>
      </c>
      <c r="M72" s="29" t="s">
        <v>112</v>
      </c>
    </row>
    <row r="73" spans="1:13" x14ac:dyDescent="0.35">
      <c r="A73" s="30">
        <v>46082</v>
      </c>
      <c r="B73" s="29" t="s">
        <v>13</v>
      </c>
      <c r="C73" s="29">
        <v>6678</v>
      </c>
      <c r="D73" s="29">
        <v>71.88</v>
      </c>
      <c r="E73" s="29">
        <v>480015</v>
      </c>
      <c r="F73" s="29">
        <v>116370</v>
      </c>
      <c r="G73" s="29">
        <v>42000</v>
      </c>
      <c r="H73" s="29">
        <v>321645</v>
      </c>
      <c r="I73" s="29">
        <v>30000</v>
      </c>
      <c r="J73" s="29">
        <v>0.1197</v>
      </c>
      <c r="K73" s="29">
        <v>2</v>
      </c>
      <c r="L73" s="29">
        <v>0.99729999999999996</v>
      </c>
      <c r="M73" s="29" t="s">
        <v>112</v>
      </c>
    </row>
    <row r="74" spans="1:13" x14ac:dyDescent="0.35">
      <c r="A74" s="30">
        <v>46082</v>
      </c>
      <c r="B74" s="29" t="s">
        <v>17</v>
      </c>
      <c r="C74" s="29">
        <v>3739.7</v>
      </c>
      <c r="D74" s="29">
        <v>71.88</v>
      </c>
      <c r="E74" s="29">
        <v>268808</v>
      </c>
      <c r="F74" s="29">
        <v>68967</v>
      </c>
      <c r="G74" s="29">
        <v>30000</v>
      </c>
      <c r="H74" s="29">
        <v>169841</v>
      </c>
      <c r="I74" s="29">
        <v>30000</v>
      </c>
      <c r="J74" s="29">
        <v>0.1197</v>
      </c>
      <c r="K74" s="29">
        <v>2</v>
      </c>
      <c r="L74" s="29">
        <v>0.99729999999999996</v>
      </c>
      <c r="M74" s="29" t="s">
        <v>112</v>
      </c>
    </row>
    <row r="75" spans="1:13" x14ac:dyDescent="0.35">
      <c r="A75" s="30">
        <v>46082</v>
      </c>
      <c r="B75" s="29" t="s">
        <v>20</v>
      </c>
      <c r="C75" s="29">
        <v>15300</v>
      </c>
      <c r="D75" s="29">
        <v>44.25</v>
      </c>
      <c r="E75" s="29">
        <v>677025</v>
      </c>
      <c r="F75" s="29">
        <v>299560</v>
      </c>
      <c r="G75" s="29">
        <v>65000</v>
      </c>
      <c r="H75" s="29">
        <v>312465</v>
      </c>
      <c r="I75" s="29">
        <v>70000</v>
      </c>
      <c r="J75" s="29">
        <v>0.3427</v>
      </c>
      <c r="K75" s="29">
        <v>18</v>
      </c>
      <c r="L75" s="29">
        <v>0.9758</v>
      </c>
      <c r="M75" s="29" t="s">
        <v>112</v>
      </c>
    </row>
    <row r="76" spans="1:13" x14ac:dyDescent="0.35">
      <c r="A76" s="30">
        <v>46082</v>
      </c>
      <c r="B76" s="29" t="s">
        <v>25</v>
      </c>
      <c r="C76" s="29">
        <v>6026.4</v>
      </c>
      <c r="D76" s="29">
        <v>118</v>
      </c>
      <c r="E76" s="29">
        <v>711115</v>
      </c>
      <c r="F76" s="29">
        <v>853901</v>
      </c>
      <c r="G76" s="29">
        <v>95000</v>
      </c>
      <c r="H76" s="29">
        <v>-237786</v>
      </c>
      <c r="I76" s="29">
        <v>420000</v>
      </c>
      <c r="J76" s="29">
        <v>0.40500000000000003</v>
      </c>
      <c r="K76" s="29">
        <v>12</v>
      </c>
      <c r="L76" s="29">
        <v>0.9839</v>
      </c>
      <c r="M76" s="29" t="s">
        <v>112</v>
      </c>
    </row>
    <row r="77" spans="1:13" x14ac:dyDescent="0.35">
      <c r="A77" s="30">
        <v>46113</v>
      </c>
      <c r="B77" s="29" t="s">
        <v>8</v>
      </c>
      <c r="C77" s="29">
        <v>47880</v>
      </c>
      <c r="D77" s="29">
        <v>73.12</v>
      </c>
      <c r="E77" s="29">
        <v>3500986</v>
      </c>
      <c r="F77" s="29">
        <v>1153040</v>
      </c>
      <c r="G77" s="29">
        <v>150000</v>
      </c>
      <c r="H77" s="29">
        <v>2197946</v>
      </c>
      <c r="I77" s="29">
        <v>250000</v>
      </c>
      <c r="J77" s="29">
        <v>0.36940000000000001</v>
      </c>
      <c r="K77" s="29">
        <v>20</v>
      </c>
      <c r="L77" s="29">
        <v>0.97219999999999995</v>
      </c>
      <c r="M77" s="29" t="s">
        <v>112</v>
      </c>
    </row>
    <row r="78" spans="1:13" x14ac:dyDescent="0.35">
      <c r="A78" s="30">
        <v>46113</v>
      </c>
      <c r="B78" s="29" t="s">
        <v>13</v>
      </c>
      <c r="C78" s="29">
        <v>8616</v>
      </c>
      <c r="D78" s="29">
        <v>66.12</v>
      </c>
      <c r="E78" s="29">
        <v>569690</v>
      </c>
      <c r="F78" s="29">
        <v>122571</v>
      </c>
      <c r="G78" s="29">
        <v>42000</v>
      </c>
      <c r="H78" s="29">
        <v>405119</v>
      </c>
      <c r="I78" s="29">
        <v>8000</v>
      </c>
      <c r="J78" s="29">
        <v>0.15959999999999999</v>
      </c>
      <c r="K78" s="29">
        <v>2</v>
      </c>
      <c r="L78" s="29">
        <v>0.99719999999999998</v>
      </c>
      <c r="M78" s="29" t="s">
        <v>112</v>
      </c>
    </row>
    <row r="79" spans="1:13" x14ac:dyDescent="0.35">
      <c r="A79" s="30">
        <v>46113</v>
      </c>
      <c r="B79" s="29" t="s">
        <v>17</v>
      </c>
      <c r="C79" s="29">
        <v>4825</v>
      </c>
      <c r="D79" s="29">
        <v>66.12</v>
      </c>
      <c r="E79" s="29">
        <v>319026</v>
      </c>
      <c r="F79" s="29">
        <v>72440</v>
      </c>
      <c r="G79" s="29">
        <v>30000</v>
      </c>
      <c r="H79" s="29">
        <v>216586</v>
      </c>
      <c r="I79" s="29">
        <v>8000</v>
      </c>
      <c r="J79" s="29">
        <v>0.15959999999999999</v>
      </c>
      <c r="K79" s="29">
        <v>2</v>
      </c>
      <c r="L79" s="29">
        <v>0.99719999999999998</v>
      </c>
      <c r="M79" s="29" t="s">
        <v>112</v>
      </c>
    </row>
    <row r="80" spans="1:13" x14ac:dyDescent="0.35">
      <c r="A80" s="30">
        <v>46113</v>
      </c>
      <c r="B80" s="29" t="s">
        <v>20</v>
      </c>
      <c r="C80" s="29">
        <v>15620</v>
      </c>
      <c r="D80" s="29">
        <v>44.8</v>
      </c>
      <c r="E80" s="29">
        <v>699776</v>
      </c>
      <c r="F80" s="29">
        <v>301224</v>
      </c>
      <c r="G80" s="29">
        <v>65000</v>
      </c>
      <c r="H80" s="29">
        <v>333552</v>
      </c>
      <c r="I80" s="29">
        <v>70000</v>
      </c>
      <c r="J80" s="29">
        <v>0.36159999999999998</v>
      </c>
      <c r="K80" s="29">
        <v>6</v>
      </c>
      <c r="L80" s="29">
        <v>0.99170000000000003</v>
      </c>
      <c r="M80" s="29" t="s">
        <v>112</v>
      </c>
    </row>
    <row r="81" spans="1:13" x14ac:dyDescent="0.35">
      <c r="A81" s="30">
        <v>46113</v>
      </c>
      <c r="B81" s="29" t="s">
        <v>25</v>
      </c>
      <c r="C81" s="29">
        <v>6076.8</v>
      </c>
      <c r="D81" s="29">
        <v>118</v>
      </c>
      <c r="E81" s="29">
        <v>717062</v>
      </c>
      <c r="F81" s="29">
        <v>857530</v>
      </c>
      <c r="G81" s="29">
        <v>95000</v>
      </c>
      <c r="H81" s="29">
        <v>-235467</v>
      </c>
      <c r="I81" s="29">
        <v>420000</v>
      </c>
      <c r="J81" s="29">
        <v>0.42199999999999999</v>
      </c>
      <c r="K81" s="29">
        <v>12</v>
      </c>
      <c r="L81" s="29">
        <v>0.98329999999999995</v>
      </c>
      <c r="M81" s="29" t="s">
        <v>112</v>
      </c>
    </row>
    <row r="82" spans="1:13" x14ac:dyDescent="0.35">
      <c r="A82" s="30">
        <v>46143</v>
      </c>
      <c r="B82" s="29" t="s">
        <v>8</v>
      </c>
      <c r="C82" s="29">
        <v>43837.2</v>
      </c>
      <c r="D82" s="29">
        <v>68.319999999999993</v>
      </c>
      <c r="E82" s="29">
        <v>2994958</v>
      </c>
      <c r="F82" s="29">
        <v>1000698</v>
      </c>
      <c r="G82" s="29">
        <v>150000</v>
      </c>
      <c r="H82" s="29">
        <v>1844260</v>
      </c>
      <c r="I82" s="29">
        <v>60000</v>
      </c>
      <c r="J82" s="29">
        <v>0.32729999999999998</v>
      </c>
      <c r="K82" s="29">
        <v>6</v>
      </c>
      <c r="L82" s="29">
        <v>0.9919</v>
      </c>
      <c r="M82" s="29" t="s">
        <v>112</v>
      </c>
    </row>
    <row r="83" spans="1:13" x14ac:dyDescent="0.35">
      <c r="A83" s="30">
        <v>46143</v>
      </c>
      <c r="B83" s="29" t="s">
        <v>13</v>
      </c>
      <c r="C83" s="29">
        <v>11130</v>
      </c>
      <c r="D83" s="29">
        <v>56.32</v>
      </c>
      <c r="E83" s="29">
        <v>626842</v>
      </c>
      <c r="F83" s="29">
        <v>130616</v>
      </c>
      <c r="G83" s="29">
        <v>42000</v>
      </c>
      <c r="H83" s="29">
        <v>454226</v>
      </c>
      <c r="I83" s="29">
        <v>8000</v>
      </c>
      <c r="J83" s="29">
        <v>0.19950000000000001</v>
      </c>
      <c r="K83" s="29">
        <v>2</v>
      </c>
      <c r="L83" s="29">
        <v>0.99729999999999996</v>
      </c>
      <c r="M83" s="29" t="s">
        <v>112</v>
      </c>
    </row>
    <row r="84" spans="1:13" x14ac:dyDescent="0.35">
      <c r="A84" s="30">
        <v>46143</v>
      </c>
      <c r="B84" s="29" t="s">
        <v>17</v>
      </c>
      <c r="C84" s="29">
        <v>6232.8</v>
      </c>
      <c r="D84" s="29">
        <v>56.32</v>
      </c>
      <c r="E84" s="29">
        <v>351031</v>
      </c>
      <c r="F84" s="29">
        <v>76945</v>
      </c>
      <c r="G84" s="29">
        <v>30000</v>
      </c>
      <c r="H84" s="29">
        <v>244086</v>
      </c>
      <c r="I84" s="29">
        <v>8000</v>
      </c>
      <c r="J84" s="29">
        <v>0.19950000000000001</v>
      </c>
      <c r="K84" s="29">
        <v>2</v>
      </c>
      <c r="L84" s="29">
        <v>0.99729999999999996</v>
      </c>
      <c r="M84" s="29" t="s">
        <v>112</v>
      </c>
    </row>
    <row r="85" spans="1:13" x14ac:dyDescent="0.35">
      <c r="A85" s="30">
        <v>46143</v>
      </c>
      <c r="B85" s="29" t="s">
        <v>20</v>
      </c>
      <c r="C85" s="29">
        <v>15940</v>
      </c>
      <c r="D85" s="29">
        <v>45.35</v>
      </c>
      <c r="E85" s="29">
        <v>722879</v>
      </c>
      <c r="F85" s="29">
        <v>302888</v>
      </c>
      <c r="G85" s="29">
        <v>65000</v>
      </c>
      <c r="H85" s="29">
        <v>354991</v>
      </c>
      <c r="I85" s="29">
        <v>70000</v>
      </c>
      <c r="J85" s="29">
        <v>0.35709999999999997</v>
      </c>
      <c r="K85" s="29">
        <v>6</v>
      </c>
      <c r="L85" s="29">
        <v>0.9919</v>
      </c>
      <c r="M85" s="29" t="s">
        <v>112</v>
      </c>
    </row>
    <row r="86" spans="1:13" x14ac:dyDescent="0.35">
      <c r="A86" s="30">
        <v>46143</v>
      </c>
      <c r="B86" s="29" t="s">
        <v>25</v>
      </c>
      <c r="C86" s="29">
        <v>6532.3</v>
      </c>
      <c r="D86" s="29">
        <v>118</v>
      </c>
      <c r="E86" s="29">
        <v>770814</v>
      </c>
      <c r="F86" s="29">
        <v>890327</v>
      </c>
      <c r="G86" s="29">
        <v>95000</v>
      </c>
      <c r="H86" s="29">
        <v>-214513</v>
      </c>
      <c r="I86" s="29">
        <v>420000</v>
      </c>
      <c r="J86" s="29">
        <v>0.439</v>
      </c>
      <c r="K86" s="29">
        <v>35</v>
      </c>
      <c r="L86" s="29">
        <v>0.95299999999999996</v>
      </c>
      <c r="M86" s="29" t="s">
        <v>112</v>
      </c>
    </row>
    <row r="87" spans="1:13" x14ac:dyDescent="0.35">
      <c r="A87" s="30">
        <v>46174</v>
      </c>
      <c r="B87" s="29" t="s">
        <v>8</v>
      </c>
      <c r="C87" s="29">
        <v>38556</v>
      </c>
      <c r="D87" s="29">
        <v>64.48</v>
      </c>
      <c r="E87" s="29">
        <v>2486091</v>
      </c>
      <c r="F87" s="29">
        <v>958448</v>
      </c>
      <c r="G87" s="29">
        <v>150000</v>
      </c>
      <c r="H87" s="29">
        <v>1377643</v>
      </c>
      <c r="I87" s="29">
        <v>60000</v>
      </c>
      <c r="J87" s="29">
        <v>0.29749999999999999</v>
      </c>
      <c r="K87" s="29">
        <v>6</v>
      </c>
      <c r="L87" s="29">
        <v>0.99170000000000003</v>
      </c>
      <c r="M87" s="29" t="s">
        <v>112</v>
      </c>
    </row>
    <row r="88" spans="1:13" x14ac:dyDescent="0.35">
      <c r="A88" s="30">
        <v>46174</v>
      </c>
      <c r="B88" s="29" t="s">
        <v>13</v>
      </c>
      <c r="C88" s="29">
        <v>12116.2</v>
      </c>
      <c r="D88" s="29">
        <v>52.48</v>
      </c>
      <c r="E88" s="29">
        <v>635861</v>
      </c>
      <c r="F88" s="29">
        <v>133772</v>
      </c>
      <c r="G88" s="29">
        <v>42000</v>
      </c>
      <c r="H88" s="29">
        <v>460089</v>
      </c>
      <c r="I88" s="29">
        <v>8000</v>
      </c>
      <c r="J88" s="29">
        <v>0.22439999999999999</v>
      </c>
      <c r="K88" s="29">
        <v>2</v>
      </c>
      <c r="L88" s="29">
        <v>0.99719999999999998</v>
      </c>
      <c r="M88" s="29" t="s">
        <v>112</v>
      </c>
    </row>
    <row r="89" spans="1:13" x14ac:dyDescent="0.35">
      <c r="A89" s="30">
        <v>46174</v>
      </c>
      <c r="B89" s="29" t="s">
        <v>17</v>
      </c>
      <c r="C89" s="29">
        <v>6785.1</v>
      </c>
      <c r="D89" s="29">
        <v>52.48</v>
      </c>
      <c r="E89" s="29">
        <v>356082</v>
      </c>
      <c r="F89" s="29">
        <v>78712</v>
      </c>
      <c r="G89" s="29">
        <v>30000</v>
      </c>
      <c r="H89" s="29">
        <v>247370</v>
      </c>
      <c r="I89" s="29">
        <v>8000</v>
      </c>
      <c r="J89" s="29">
        <v>0.22439999999999999</v>
      </c>
      <c r="K89" s="29">
        <v>2</v>
      </c>
      <c r="L89" s="29">
        <v>0.99719999999999998</v>
      </c>
      <c r="M89" s="29" t="s">
        <v>112</v>
      </c>
    </row>
    <row r="90" spans="1:13" x14ac:dyDescent="0.35">
      <c r="A90" s="30">
        <v>46174</v>
      </c>
      <c r="B90" s="29" t="s">
        <v>20</v>
      </c>
      <c r="C90" s="29">
        <v>16260</v>
      </c>
      <c r="D90" s="29">
        <v>45.9</v>
      </c>
      <c r="E90" s="29">
        <v>746334</v>
      </c>
      <c r="F90" s="29">
        <v>304552</v>
      </c>
      <c r="G90" s="29">
        <v>65000</v>
      </c>
      <c r="H90" s="29">
        <v>376782</v>
      </c>
      <c r="I90" s="29">
        <v>70000</v>
      </c>
      <c r="J90" s="29">
        <v>0.37640000000000001</v>
      </c>
      <c r="K90" s="29">
        <v>6</v>
      </c>
      <c r="L90" s="29">
        <v>0.99170000000000003</v>
      </c>
      <c r="M90" s="29" t="s">
        <v>112</v>
      </c>
    </row>
    <row r="91" spans="1:13" x14ac:dyDescent="0.35">
      <c r="A91" s="30">
        <v>46174</v>
      </c>
      <c r="B91" s="29" t="s">
        <v>25</v>
      </c>
      <c r="C91" s="29">
        <v>6566.4</v>
      </c>
      <c r="D91" s="29">
        <v>118</v>
      </c>
      <c r="E91" s="29">
        <v>774835</v>
      </c>
      <c r="F91" s="29">
        <v>892781</v>
      </c>
      <c r="G91" s="29">
        <v>95000</v>
      </c>
      <c r="H91" s="29">
        <v>-212946</v>
      </c>
      <c r="I91" s="29">
        <v>420000</v>
      </c>
      <c r="J91" s="29">
        <v>0.45600000000000002</v>
      </c>
      <c r="K91" s="29">
        <v>12</v>
      </c>
      <c r="L91" s="29">
        <v>0.98329999999999995</v>
      </c>
      <c r="M91" s="29" t="s">
        <v>112</v>
      </c>
    </row>
    <row r="92" spans="1:13" x14ac:dyDescent="0.35">
      <c r="A92" s="30">
        <v>46204</v>
      </c>
      <c r="B92" s="29" t="s">
        <v>8</v>
      </c>
      <c r="C92" s="29">
        <v>38523.599999999999</v>
      </c>
      <c r="D92" s="29">
        <v>62.56</v>
      </c>
      <c r="E92" s="29">
        <v>2410036</v>
      </c>
      <c r="F92" s="29">
        <v>958189</v>
      </c>
      <c r="G92" s="29">
        <v>150000</v>
      </c>
      <c r="H92" s="29">
        <v>1301848</v>
      </c>
      <c r="I92" s="29">
        <v>60000</v>
      </c>
      <c r="J92" s="29">
        <v>0.28770000000000001</v>
      </c>
      <c r="K92" s="29">
        <v>6</v>
      </c>
      <c r="L92" s="29">
        <v>0.9919</v>
      </c>
      <c r="M92" s="29" t="s">
        <v>112</v>
      </c>
    </row>
    <row r="93" spans="1:13" x14ac:dyDescent="0.35">
      <c r="A93" s="30">
        <v>46204</v>
      </c>
      <c r="B93" s="29" t="s">
        <v>13</v>
      </c>
      <c r="C93" s="29">
        <v>12799.5</v>
      </c>
      <c r="D93" s="29">
        <v>50.56</v>
      </c>
      <c r="E93" s="29">
        <v>647143</v>
      </c>
      <c r="F93" s="29">
        <v>135958</v>
      </c>
      <c r="G93" s="29">
        <v>42000</v>
      </c>
      <c r="H93" s="29">
        <v>469184</v>
      </c>
      <c r="I93" s="29">
        <v>8000</v>
      </c>
      <c r="J93" s="29">
        <v>0.22939999999999999</v>
      </c>
      <c r="K93" s="29">
        <v>2</v>
      </c>
      <c r="L93" s="29">
        <v>0.99729999999999996</v>
      </c>
      <c r="M93" s="29" t="s">
        <v>112</v>
      </c>
    </row>
    <row r="94" spans="1:13" x14ac:dyDescent="0.35">
      <c r="A94" s="30">
        <v>46204</v>
      </c>
      <c r="B94" s="29" t="s">
        <v>17</v>
      </c>
      <c r="C94" s="29">
        <v>7167.7</v>
      </c>
      <c r="D94" s="29">
        <v>50.56</v>
      </c>
      <c r="E94" s="29">
        <v>362400</v>
      </c>
      <c r="F94" s="29">
        <v>79937</v>
      </c>
      <c r="G94" s="29">
        <v>30000</v>
      </c>
      <c r="H94" s="29">
        <v>252463</v>
      </c>
      <c r="I94" s="29">
        <v>8000</v>
      </c>
      <c r="J94" s="29">
        <v>0.22939999999999999</v>
      </c>
      <c r="K94" s="29">
        <v>2</v>
      </c>
      <c r="L94" s="29">
        <v>0.99729999999999996</v>
      </c>
      <c r="M94" s="29" t="s">
        <v>112</v>
      </c>
    </row>
    <row r="95" spans="1:13" x14ac:dyDescent="0.35">
      <c r="A95" s="30">
        <v>46204</v>
      </c>
      <c r="B95" s="29" t="s">
        <v>20</v>
      </c>
      <c r="C95" s="29">
        <v>16580</v>
      </c>
      <c r="D95" s="29">
        <v>46.45</v>
      </c>
      <c r="E95" s="29">
        <v>770141</v>
      </c>
      <c r="F95" s="29">
        <v>306216</v>
      </c>
      <c r="G95" s="29">
        <v>65000</v>
      </c>
      <c r="H95" s="29">
        <v>398925</v>
      </c>
      <c r="I95" s="29">
        <v>70000</v>
      </c>
      <c r="J95" s="29">
        <v>0.37140000000000001</v>
      </c>
      <c r="K95" s="29">
        <v>6</v>
      </c>
      <c r="L95" s="29">
        <v>0.9919</v>
      </c>
      <c r="M95" s="29" t="s">
        <v>112</v>
      </c>
    </row>
    <row r="96" spans="1:13" x14ac:dyDescent="0.35">
      <c r="A96" s="30">
        <v>46204</v>
      </c>
      <c r="B96" s="29" t="s">
        <v>25</v>
      </c>
      <c r="C96" s="29">
        <v>7038.2</v>
      </c>
      <c r="D96" s="29">
        <v>118</v>
      </c>
      <c r="E96" s="29">
        <v>830512</v>
      </c>
      <c r="F96" s="29">
        <v>926753</v>
      </c>
      <c r="G96" s="29">
        <v>95000</v>
      </c>
      <c r="H96" s="29">
        <v>-191241</v>
      </c>
      <c r="I96" s="29">
        <v>420000</v>
      </c>
      <c r="J96" s="29">
        <v>0.47299999999999998</v>
      </c>
      <c r="K96" s="29">
        <v>12</v>
      </c>
      <c r="L96" s="29">
        <v>0.9839</v>
      </c>
      <c r="M96" s="29" t="s">
        <v>112</v>
      </c>
    </row>
    <row r="97" spans="1:13" x14ac:dyDescent="0.35">
      <c r="A97" s="30">
        <v>46235</v>
      </c>
      <c r="B97" s="29" t="s">
        <v>8</v>
      </c>
      <c r="C97" s="29">
        <v>41180.400000000001</v>
      </c>
      <c r="D97" s="29">
        <v>65.44</v>
      </c>
      <c r="E97" s="29">
        <v>2694845</v>
      </c>
      <c r="F97" s="29">
        <v>979443</v>
      </c>
      <c r="G97" s="29">
        <v>150000</v>
      </c>
      <c r="H97" s="29">
        <v>1565402</v>
      </c>
      <c r="I97" s="29">
        <v>60000</v>
      </c>
      <c r="J97" s="29">
        <v>0.3075</v>
      </c>
      <c r="K97" s="29">
        <v>6</v>
      </c>
      <c r="L97" s="29">
        <v>0.9919</v>
      </c>
      <c r="M97" s="29" t="s">
        <v>112</v>
      </c>
    </row>
    <row r="98" spans="1:13" x14ac:dyDescent="0.35">
      <c r="A98" s="30">
        <v>46235</v>
      </c>
      <c r="B98" s="29" t="s">
        <v>13</v>
      </c>
      <c r="C98" s="29">
        <v>11408.2</v>
      </c>
      <c r="D98" s="29">
        <v>53.44</v>
      </c>
      <c r="E98" s="29">
        <v>609657</v>
      </c>
      <c r="F98" s="29">
        <v>131506</v>
      </c>
      <c r="G98" s="29">
        <v>42000</v>
      </c>
      <c r="H98" s="29">
        <v>436150</v>
      </c>
      <c r="I98" s="29">
        <v>8000</v>
      </c>
      <c r="J98" s="29">
        <v>0.2044</v>
      </c>
      <c r="K98" s="29">
        <v>2</v>
      </c>
      <c r="L98" s="29">
        <v>0.99729999999999996</v>
      </c>
      <c r="M98" s="29" t="s">
        <v>112</v>
      </c>
    </row>
    <row r="99" spans="1:13" x14ac:dyDescent="0.35">
      <c r="A99" s="30">
        <v>46235</v>
      </c>
      <c r="B99" s="29" t="s">
        <v>17</v>
      </c>
      <c r="C99" s="29">
        <v>6388.6</v>
      </c>
      <c r="D99" s="29">
        <v>53.44</v>
      </c>
      <c r="E99" s="29">
        <v>341408</v>
      </c>
      <c r="F99" s="29">
        <v>77444</v>
      </c>
      <c r="G99" s="29">
        <v>30000</v>
      </c>
      <c r="H99" s="29">
        <v>233964</v>
      </c>
      <c r="I99" s="29">
        <v>8000</v>
      </c>
      <c r="J99" s="29">
        <v>0.2044</v>
      </c>
      <c r="K99" s="29">
        <v>2</v>
      </c>
      <c r="L99" s="29">
        <v>0.99729999999999996</v>
      </c>
      <c r="M99" s="29" t="s">
        <v>112</v>
      </c>
    </row>
    <row r="100" spans="1:13" x14ac:dyDescent="0.35">
      <c r="A100" s="30">
        <v>46235</v>
      </c>
      <c r="B100" s="29" t="s">
        <v>20</v>
      </c>
      <c r="C100" s="29">
        <v>16900</v>
      </c>
      <c r="D100" s="29">
        <v>47</v>
      </c>
      <c r="E100" s="29">
        <v>794300</v>
      </c>
      <c r="F100" s="29">
        <v>307880</v>
      </c>
      <c r="G100" s="29">
        <v>65000</v>
      </c>
      <c r="H100" s="29">
        <v>421420</v>
      </c>
      <c r="I100" s="29">
        <v>70000</v>
      </c>
      <c r="J100" s="29">
        <v>0.37859999999999999</v>
      </c>
      <c r="K100" s="29">
        <v>6</v>
      </c>
      <c r="L100" s="29">
        <v>0.9919</v>
      </c>
      <c r="M100" s="29" t="s">
        <v>112</v>
      </c>
    </row>
    <row r="101" spans="1:13" x14ac:dyDescent="0.35">
      <c r="A101" s="30">
        <v>46235</v>
      </c>
      <c r="B101" s="29" t="s">
        <v>25</v>
      </c>
      <c r="C101" s="29">
        <v>7291.2</v>
      </c>
      <c r="D101" s="29">
        <v>118</v>
      </c>
      <c r="E101" s="29">
        <v>860362</v>
      </c>
      <c r="F101" s="29">
        <v>944966</v>
      </c>
      <c r="G101" s="29">
        <v>95000</v>
      </c>
      <c r="H101" s="29">
        <v>-179605</v>
      </c>
      <c r="I101" s="29">
        <v>420000</v>
      </c>
      <c r="J101" s="29">
        <v>0.49</v>
      </c>
      <c r="K101" s="29">
        <v>12</v>
      </c>
      <c r="L101" s="29">
        <v>0.9839</v>
      </c>
      <c r="M101" s="29" t="s">
        <v>112</v>
      </c>
    </row>
    <row r="102" spans="1:13" x14ac:dyDescent="0.35">
      <c r="A102" s="30">
        <v>46266</v>
      </c>
      <c r="B102" s="29" t="s">
        <v>8</v>
      </c>
      <c r="C102" s="29">
        <v>46267.199999999997</v>
      </c>
      <c r="D102" s="29">
        <v>71.2</v>
      </c>
      <c r="E102" s="29">
        <v>3294225</v>
      </c>
      <c r="F102" s="29">
        <v>1020138</v>
      </c>
      <c r="G102" s="29">
        <v>150000</v>
      </c>
      <c r="H102" s="29">
        <v>2124087</v>
      </c>
      <c r="I102" s="29">
        <v>60000</v>
      </c>
      <c r="J102" s="29">
        <v>0.35699999999999998</v>
      </c>
      <c r="K102" s="29">
        <v>6</v>
      </c>
      <c r="L102" s="29">
        <v>0.99170000000000003</v>
      </c>
      <c r="M102" s="29" t="s">
        <v>112</v>
      </c>
    </row>
    <row r="103" spans="1:13" x14ac:dyDescent="0.35">
      <c r="A103" s="30">
        <v>46266</v>
      </c>
      <c r="B103" s="29" t="s">
        <v>13</v>
      </c>
      <c r="C103" s="29">
        <v>8346.7999999999993</v>
      </c>
      <c r="D103" s="29">
        <v>64.2</v>
      </c>
      <c r="E103" s="29">
        <v>535861</v>
      </c>
      <c r="F103" s="29">
        <v>121710</v>
      </c>
      <c r="G103" s="29">
        <v>42000</v>
      </c>
      <c r="H103" s="29">
        <v>372152</v>
      </c>
      <c r="I103" s="29">
        <v>30000</v>
      </c>
      <c r="J103" s="29">
        <v>0.15459999999999999</v>
      </c>
      <c r="K103" s="29">
        <v>2</v>
      </c>
      <c r="L103" s="29">
        <v>0.99719999999999998</v>
      </c>
      <c r="M103" s="29" t="s">
        <v>112</v>
      </c>
    </row>
    <row r="104" spans="1:13" x14ac:dyDescent="0.35">
      <c r="A104" s="30">
        <v>46266</v>
      </c>
      <c r="B104" s="29" t="s">
        <v>17</v>
      </c>
      <c r="C104" s="29">
        <v>4674.2</v>
      </c>
      <c r="D104" s="29">
        <v>64.2</v>
      </c>
      <c r="E104" s="29">
        <v>300082</v>
      </c>
      <c r="F104" s="29">
        <v>71957</v>
      </c>
      <c r="G104" s="29">
        <v>30000</v>
      </c>
      <c r="H104" s="29">
        <v>198125</v>
      </c>
      <c r="I104" s="29">
        <v>30000</v>
      </c>
      <c r="J104" s="29">
        <v>0.15459999999999999</v>
      </c>
      <c r="K104" s="29">
        <v>2</v>
      </c>
      <c r="L104" s="29">
        <v>0.99719999999999998</v>
      </c>
      <c r="M104" s="29" t="s">
        <v>112</v>
      </c>
    </row>
    <row r="105" spans="1:13" x14ac:dyDescent="0.35">
      <c r="A105" s="30">
        <v>46266</v>
      </c>
      <c r="B105" s="29" t="s">
        <v>20</v>
      </c>
      <c r="C105" s="29">
        <v>17220</v>
      </c>
      <c r="D105" s="29">
        <v>47.55</v>
      </c>
      <c r="E105" s="29">
        <v>818811</v>
      </c>
      <c r="F105" s="29">
        <v>309544</v>
      </c>
      <c r="G105" s="29">
        <v>65000</v>
      </c>
      <c r="H105" s="29">
        <v>444267</v>
      </c>
      <c r="I105" s="29">
        <v>70000</v>
      </c>
      <c r="J105" s="29">
        <v>0.39860000000000001</v>
      </c>
      <c r="K105" s="29">
        <v>18</v>
      </c>
      <c r="L105" s="29">
        <v>0.97499999999999998</v>
      </c>
      <c r="M105" s="29" t="s">
        <v>112</v>
      </c>
    </row>
    <row r="106" spans="1:13" x14ac:dyDescent="0.35">
      <c r="A106" s="30">
        <v>46266</v>
      </c>
      <c r="B106" s="29" t="s">
        <v>25</v>
      </c>
      <c r="C106" s="29">
        <v>7300.8</v>
      </c>
      <c r="D106" s="29">
        <v>118</v>
      </c>
      <c r="E106" s="29">
        <v>861494</v>
      </c>
      <c r="F106" s="29">
        <v>945658</v>
      </c>
      <c r="G106" s="29">
        <v>95000</v>
      </c>
      <c r="H106" s="29">
        <v>-179163</v>
      </c>
      <c r="I106" s="29">
        <v>420000</v>
      </c>
      <c r="J106" s="29">
        <v>0.50700000000000001</v>
      </c>
      <c r="K106" s="29">
        <v>12</v>
      </c>
      <c r="L106" s="29">
        <v>0.98329999999999995</v>
      </c>
      <c r="M106" s="29" t="s">
        <v>112</v>
      </c>
    </row>
    <row r="107" spans="1:13" x14ac:dyDescent="0.35">
      <c r="A107" s="30">
        <v>46296</v>
      </c>
      <c r="B107" s="29" t="s">
        <v>8</v>
      </c>
      <c r="C107" s="29">
        <v>54734.400000000001</v>
      </c>
      <c r="D107" s="29">
        <v>78.88</v>
      </c>
      <c r="E107" s="29">
        <v>4317449</v>
      </c>
      <c r="F107" s="29">
        <v>1207875</v>
      </c>
      <c r="G107" s="29">
        <v>150000</v>
      </c>
      <c r="H107" s="29">
        <v>2959574</v>
      </c>
      <c r="I107" s="29">
        <v>250000</v>
      </c>
      <c r="J107" s="29">
        <v>0.40870000000000001</v>
      </c>
      <c r="K107" s="29">
        <v>20</v>
      </c>
      <c r="L107" s="29">
        <v>0.97309999999999997</v>
      </c>
      <c r="M107" s="29" t="s">
        <v>112</v>
      </c>
    </row>
    <row r="108" spans="1:13" x14ac:dyDescent="0.35">
      <c r="A108" s="30">
        <v>46296</v>
      </c>
      <c r="B108" s="29" t="s">
        <v>13</v>
      </c>
      <c r="C108" s="29">
        <v>5843.2</v>
      </c>
      <c r="D108" s="29">
        <v>71.88</v>
      </c>
      <c r="E108" s="29">
        <v>420013</v>
      </c>
      <c r="F108" s="29">
        <v>113698</v>
      </c>
      <c r="G108" s="29">
        <v>42000</v>
      </c>
      <c r="H108" s="29">
        <v>264314</v>
      </c>
      <c r="I108" s="29">
        <v>8000</v>
      </c>
      <c r="J108" s="29">
        <v>0.1047</v>
      </c>
      <c r="K108" s="29">
        <v>2</v>
      </c>
      <c r="L108" s="29">
        <v>0.99729999999999996</v>
      </c>
      <c r="M108" s="29" t="s">
        <v>112</v>
      </c>
    </row>
    <row r="109" spans="1:13" x14ac:dyDescent="0.35">
      <c r="A109" s="30">
        <v>46296</v>
      </c>
      <c r="B109" s="29" t="s">
        <v>17</v>
      </c>
      <c r="C109" s="29">
        <v>3272.2</v>
      </c>
      <c r="D109" s="29">
        <v>71.88</v>
      </c>
      <c r="E109" s="29">
        <v>235207</v>
      </c>
      <c r="F109" s="29">
        <v>67471</v>
      </c>
      <c r="G109" s="29">
        <v>30000</v>
      </c>
      <c r="H109" s="29">
        <v>137736</v>
      </c>
      <c r="I109" s="29">
        <v>8000</v>
      </c>
      <c r="J109" s="29">
        <v>0.1047</v>
      </c>
      <c r="K109" s="29">
        <v>2</v>
      </c>
      <c r="L109" s="29">
        <v>0.99729999999999996</v>
      </c>
      <c r="M109" s="29" t="s">
        <v>112</v>
      </c>
    </row>
    <row r="110" spans="1:13" x14ac:dyDescent="0.35">
      <c r="A110" s="30">
        <v>46296</v>
      </c>
      <c r="B110" s="29" t="s">
        <v>20</v>
      </c>
      <c r="C110" s="29">
        <v>17540</v>
      </c>
      <c r="D110" s="29">
        <v>48.1</v>
      </c>
      <c r="E110" s="29">
        <v>843674</v>
      </c>
      <c r="F110" s="29">
        <v>311208</v>
      </c>
      <c r="G110" s="29">
        <v>65000</v>
      </c>
      <c r="H110" s="29">
        <v>467466</v>
      </c>
      <c r="I110" s="29">
        <v>70000</v>
      </c>
      <c r="J110" s="29">
        <v>0.39290000000000003</v>
      </c>
      <c r="K110" s="29">
        <v>6</v>
      </c>
      <c r="L110" s="29">
        <v>0.9919</v>
      </c>
      <c r="M110" s="29" t="s">
        <v>112</v>
      </c>
    </row>
    <row r="111" spans="1:13" x14ac:dyDescent="0.35">
      <c r="A111" s="30">
        <v>46296</v>
      </c>
      <c r="B111" s="29" t="s">
        <v>25</v>
      </c>
      <c r="C111" s="29">
        <v>7797.1</v>
      </c>
      <c r="D111" s="29">
        <v>118</v>
      </c>
      <c r="E111" s="29">
        <v>920060</v>
      </c>
      <c r="F111" s="29">
        <v>981393</v>
      </c>
      <c r="G111" s="29">
        <v>95000</v>
      </c>
      <c r="H111" s="29">
        <v>-156332</v>
      </c>
      <c r="I111" s="29">
        <v>420000</v>
      </c>
      <c r="J111" s="29">
        <v>0.52400000000000002</v>
      </c>
      <c r="K111" s="29">
        <v>12</v>
      </c>
      <c r="L111" s="29">
        <v>0.9839</v>
      </c>
      <c r="M111" s="29" t="s">
        <v>112</v>
      </c>
    </row>
    <row r="112" spans="1:13" x14ac:dyDescent="0.35">
      <c r="A112" s="30">
        <v>46327</v>
      </c>
      <c r="B112" s="29" t="s">
        <v>8</v>
      </c>
      <c r="C112" s="29">
        <v>60404.4</v>
      </c>
      <c r="D112" s="29">
        <v>84.64</v>
      </c>
      <c r="E112" s="29">
        <v>5112628</v>
      </c>
      <c r="F112" s="29">
        <v>1133235</v>
      </c>
      <c r="G112" s="29">
        <v>150000</v>
      </c>
      <c r="H112" s="29">
        <v>3829393</v>
      </c>
      <c r="I112" s="29">
        <v>60000</v>
      </c>
      <c r="J112" s="29">
        <v>0.46610000000000001</v>
      </c>
      <c r="K112" s="29">
        <v>6</v>
      </c>
      <c r="L112" s="29">
        <v>0.99170000000000003</v>
      </c>
      <c r="M112" s="29" t="s">
        <v>112</v>
      </c>
    </row>
    <row r="113" spans="1:13" x14ac:dyDescent="0.35">
      <c r="A113" s="30">
        <v>46327</v>
      </c>
      <c r="B113" s="29" t="s">
        <v>13</v>
      </c>
      <c r="C113" s="29">
        <v>3480.8</v>
      </c>
      <c r="D113" s="29">
        <v>77.64</v>
      </c>
      <c r="E113" s="29">
        <v>270245</v>
      </c>
      <c r="F113" s="29">
        <v>106138</v>
      </c>
      <c r="G113" s="29">
        <v>42000</v>
      </c>
      <c r="H113" s="29">
        <v>122107</v>
      </c>
      <c r="I113" s="29">
        <v>8000</v>
      </c>
      <c r="J113" s="29">
        <v>6.4500000000000002E-2</v>
      </c>
      <c r="K113" s="29">
        <v>6</v>
      </c>
      <c r="L113" s="29">
        <v>0.99170000000000003</v>
      </c>
      <c r="M113" s="29" t="s">
        <v>112</v>
      </c>
    </row>
    <row r="114" spans="1:13" x14ac:dyDescent="0.35">
      <c r="A114" s="30">
        <v>46327</v>
      </c>
      <c r="B114" s="29" t="s">
        <v>17</v>
      </c>
      <c r="C114" s="29">
        <v>1949.2</v>
      </c>
      <c r="D114" s="29">
        <v>77.64</v>
      </c>
      <c r="E114" s="29">
        <v>151337</v>
      </c>
      <c r="F114" s="29">
        <v>63238</v>
      </c>
      <c r="G114" s="29">
        <v>30000</v>
      </c>
      <c r="H114" s="29">
        <v>58100</v>
      </c>
      <c r="I114" s="29">
        <v>8000</v>
      </c>
      <c r="J114" s="29">
        <v>6.4500000000000002E-2</v>
      </c>
      <c r="K114" s="29">
        <v>6</v>
      </c>
      <c r="L114" s="29">
        <v>0.99170000000000003</v>
      </c>
      <c r="M114" s="29" t="s">
        <v>112</v>
      </c>
    </row>
    <row r="115" spans="1:13" x14ac:dyDescent="0.35">
      <c r="A115" s="30">
        <v>46327</v>
      </c>
      <c r="B115" s="29" t="s">
        <v>20</v>
      </c>
      <c r="C115" s="29">
        <v>19260</v>
      </c>
      <c r="D115" s="29">
        <v>53.65</v>
      </c>
      <c r="E115" s="29">
        <v>1033299</v>
      </c>
      <c r="F115" s="29">
        <v>320152</v>
      </c>
      <c r="G115" s="29">
        <v>65000</v>
      </c>
      <c r="H115" s="29">
        <v>648147</v>
      </c>
      <c r="I115" s="29">
        <v>70000</v>
      </c>
      <c r="J115" s="29">
        <v>0.44579999999999997</v>
      </c>
      <c r="K115" s="29">
        <v>6</v>
      </c>
      <c r="L115" s="29">
        <v>0.99170000000000003</v>
      </c>
      <c r="M115" s="29" t="s">
        <v>112</v>
      </c>
    </row>
    <row r="116" spans="1:13" x14ac:dyDescent="0.35">
      <c r="A116" s="30">
        <v>46327</v>
      </c>
      <c r="B116" s="29" t="s">
        <v>25</v>
      </c>
      <c r="C116" s="29">
        <v>7776</v>
      </c>
      <c r="D116" s="29">
        <v>118</v>
      </c>
      <c r="E116" s="29">
        <v>917568</v>
      </c>
      <c r="F116" s="29">
        <v>979872</v>
      </c>
      <c r="G116" s="29">
        <v>95000</v>
      </c>
      <c r="H116" s="29">
        <v>-157304</v>
      </c>
      <c r="I116" s="29">
        <v>420000</v>
      </c>
      <c r="J116" s="29">
        <v>0.54</v>
      </c>
      <c r="K116" s="29">
        <v>35</v>
      </c>
      <c r="L116" s="29">
        <v>0.95140000000000002</v>
      </c>
      <c r="M116" s="29" t="s">
        <v>112</v>
      </c>
    </row>
    <row r="117" spans="1:13" x14ac:dyDescent="0.35">
      <c r="A117" s="30">
        <v>46357</v>
      </c>
      <c r="B117" s="29" t="s">
        <v>8</v>
      </c>
      <c r="C117" s="29">
        <v>67748.399999999994</v>
      </c>
      <c r="D117" s="29">
        <v>90.4</v>
      </c>
      <c r="E117" s="29">
        <v>6124455</v>
      </c>
      <c r="F117" s="29">
        <v>1191987</v>
      </c>
      <c r="G117" s="29">
        <v>150000</v>
      </c>
      <c r="H117" s="29">
        <v>4782468</v>
      </c>
      <c r="I117" s="29">
        <v>60000</v>
      </c>
      <c r="J117" s="29">
        <v>0.50590000000000002</v>
      </c>
      <c r="K117" s="29">
        <v>6</v>
      </c>
      <c r="L117" s="29">
        <v>0.9919</v>
      </c>
      <c r="M117" s="29" t="s">
        <v>112</v>
      </c>
    </row>
    <row r="118" spans="1:13" x14ac:dyDescent="0.35">
      <c r="A118" s="30">
        <v>46357</v>
      </c>
      <c r="B118" s="29" t="s">
        <v>13</v>
      </c>
      <c r="C118" s="29">
        <v>2782.5</v>
      </c>
      <c r="D118" s="29">
        <v>83.4</v>
      </c>
      <c r="E118" s="29">
        <v>232060</v>
      </c>
      <c r="F118" s="29">
        <v>103904</v>
      </c>
      <c r="G118" s="29">
        <v>42000</v>
      </c>
      <c r="H118" s="29">
        <v>86156</v>
      </c>
      <c r="I118" s="29">
        <v>8000</v>
      </c>
      <c r="J118" s="29">
        <v>4.99E-2</v>
      </c>
      <c r="K118" s="29">
        <v>2</v>
      </c>
      <c r="L118" s="29">
        <v>0.99729999999999996</v>
      </c>
      <c r="M118" s="29" t="s">
        <v>112</v>
      </c>
    </row>
    <row r="119" spans="1:13" x14ac:dyDescent="0.35">
      <c r="A119" s="30">
        <v>46357</v>
      </c>
      <c r="B119" s="29" t="s">
        <v>17</v>
      </c>
      <c r="C119" s="29">
        <v>1558.2</v>
      </c>
      <c r="D119" s="29">
        <v>83.4</v>
      </c>
      <c r="E119" s="29">
        <v>129954</v>
      </c>
      <c r="F119" s="29">
        <v>61986</v>
      </c>
      <c r="G119" s="29">
        <v>30000</v>
      </c>
      <c r="H119" s="29">
        <v>37968</v>
      </c>
      <c r="I119" s="29">
        <v>8000</v>
      </c>
      <c r="J119" s="29">
        <v>4.99E-2</v>
      </c>
      <c r="K119" s="29">
        <v>2</v>
      </c>
      <c r="L119" s="29">
        <v>0.99729999999999996</v>
      </c>
      <c r="M119" s="29" t="s">
        <v>112</v>
      </c>
    </row>
    <row r="120" spans="1:13" x14ac:dyDescent="0.35">
      <c r="A120" s="30">
        <v>46357</v>
      </c>
      <c r="B120" s="29" t="s">
        <v>20</v>
      </c>
      <c r="C120" s="29">
        <v>19580</v>
      </c>
      <c r="D120" s="29">
        <v>54.2</v>
      </c>
      <c r="E120" s="29">
        <v>1061236</v>
      </c>
      <c r="F120" s="29">
        <v>321816</v>
      </c>
      <c r="G120" s="29">
        <v>65000</v>
      </c>
      <c r="H120" s="29">
        <v>674420</v>
      </c>
      <c r="I120" s="29">
        <v>70000</v>
      </c>
      <c r="J120" s="29">
        <v>0.43859999999999999</v>
      </c>
      <c r="K120" s="29">
        <v>6</v>
      </c>
      <c r="L120" s="29">
        <v>0.9919</v>
      </c>
      <c r="M120" s="29" t="s">
        <v>112</v>
      </c>
    </row>
    <row r="121" spans="1:13" x14ac:dyDescent="0.35">
      <c r="A121" s="30">
        <v>46357</v>
      </c>
      <c r="B121" s="29" t="s">
        <v>25</v>
      </c>
      <c r="C121" s="29">
        <v>8035.2</v>
      </c>
      <c r="D121" s="29">
        <v>118</v>
      </c>
      <c r="E121" s="29">
        <v>948154</v>
      </c>
      <c r="F121" s="29">
        <v>998534</v>
      </c>
      <c r="G121" s="29">
        <v>95000</v>
      </c>
      <c r="H121" s="29">
        <v>-145381</v>
      </c>
      <c r="I121" s="29">
        <v>420000</v>
      </c>
      <c r="J121" s="29">
        <v>0.54</v>
      </c>
      <c r="K121" s="29">
        <v>12</v>
      </c>
      <c r="L121" s="29">
        <v>0.9839</v>
      </c>
      <c r="M121" s="29" t="s">
        <v>112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10989-6855-4CE7-852A-3E9A2D666CAC}">
  <sheetPr codeName="Sheet6"/>
  <dimension ref="A1:M121"/>
  <sheetViews>
    <sheetView showGridLines="0" topLeftCell="A4" workbookViewId="0">
      <pane xSplit="2" ySplit="1" topLeftCell="C2" activePane="bottomRight" state="frozen"/>
      <selection activeCell="D26" sqref="A2:M121"/>
      <selection pane="topRight" activeCell="A4" sqref="A4"/>
      <selection pane="bottomLeft" activeCell="A4" sqref="A4"/>
      <selection pane="bottomRight" activeCell="A4" sqref="A4"/>
    </sheetView>
  </sheetViews>
  <sheetFormatPr defaultRowHeight="14.5" x14ac:dyDescent="0.35"/>
  <cols>
    <col min="1" max="1" width="10.54296875" bestFit="1" customWidth="1"/>
    <col min="2" max="2" width="10" bestFit="1" customWidth="1"/>
    <col min="3" max="3" width="17.90625" bestFit="1" customWidth="1"/>
    <col min="4" max="4" width="24.08984375" bestFit="1" customWidth="1"/>
    <col min="5" max="5" width="13.90625" bestFit="1" customWidth="1"/>
    <col min="6" max="6" width="17" bestFit="1" customWidth="1"/>
    <col min="7" max="7" width="24" bestFit="1" customWidth="1"/>
    <col min="8" max="8" width="12.36328125" bestFit="1" customWidth="1"/>
    <col min="9" max="9" width="11.90625" bestFit="1" customWidth="1"/>
    <col min="10" max="10" width="15.08984375" bestFit="1" customWidth="1"/>
    <col min="11" max="11" width="17.6328125" bestFit="1" customWidth="1"/>
    <col min="12" max="12" width="16" bestFit="1" customWidth="1"/>
    <col min="13" max="13" width="10.453125" bestFit="1" customWidth="1"/>
  </cols>
  <sheetData>
    <row r="1" spans="1:13" x14ac:dyDescent="0.35">
      <c r="A1" t="s">
        <v>30</v>
      </c>
      <c r="B1" t="s">
        <v>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111</v>
      </c>
    </row>
    <row r="2" spans="1:13" x14ac:dyDescent="0.35">
      <c r="A2" s="30">
        <v>45658</v>
      </c>
      <c r="B2" s="29" t="s">
        <v>8</v>
      </c>
      <c r="C2" s="29">
        <v>64359.9</v>
      </c>
      <c r="D2" s="29">
        <v>86.48</v>
      </c>
      <c r="E2" s="29">
        <v>5565844</v>
      </c>
      <c r="F2" s="29">
        <v>1258148</v>
      </c>
      <c r="G2" s="29">
        <v>156000</v>
      </c>
      <c r="H2" s="29">
        <v>4151696</v>
      </c>
      <c r="I2" s="29">
        <v>64800</v>
      </c>
      <c r="J2" s="29">
        <v>0.48060000000000003</v>
      </c>
      <c r="K2" s="29">
        <v>18</v>
      </c>
      <c r="L2" s="29">
        <v>0.9758</v>
      </c>
      <c r="M2" s="29" t="s">
        <v>114</v>
      </c>
    </row>
    <row r="3" spans="1:13" x14ac:dyDescent="0.35">
      <c r="A3" s="30">
        <v>45658</v>
      </c>
      <c r="B3" s="29" t="s">
        <v>13</v>
      </c>
      <c r="C3" s="29">
        <v>3102.5</v>
      </c>
      <c r="D3" s="29">
        <v>84.15</v>
      </c>
      <c r="E3" s="29">
        <v>261073</v>
      </c>
      <c r="F3" s="29">
        <v>107938</v>
      </c>
      <c r="G3" s="29">
        <v>43050</v>
      </c>
      <c r="H3" s="29">
        <v>110085</v>
      </c>
      <c r="I3" s="29">
        <v>8320</v>
      </c>
      <c r="J3" s="29">
        <v>5.5599999999999997E-2</v>
      </c>
      <c r="K3" s="29">
        <v>3</v>
      </c>
      <c r="L3" s="29">
        <v>0.996</v>
      </c>
      <c r="M3" s="29" t="s">
        <v>114</v>
      </c>
    </row>
    <row r="4" spans="1:13" x14ac:dyDescent="0.35">
      <c r="A4" s="30">
        <v>45658</v>
      </c>
      <c r="B4" s="29" t="s">
        <v>17</v>
      </c>
      <c r="C4" s="29">
        <v>1737.4</v>
      </c>
      <c r="D4" s="29">
        <v>84.15</v>
      </c>
      <c r="E4" s="29">
        <v>146201</v>
      </c>
      <c r="F4" s="29">
        <v>64359</v>
      </c>
      <c r="G4" s="29">
        <v>30750</v>
      </c>
      <c r="H4" s="29">
        <v>51092</v>
      </c>
      <c r="I4" s="29">
        <v>8320</v>
      </c>
      <c r="J4" s="29">
        <v>5.5599999999999997E-2</v>
      </c>
      <c r="K4" s="29">
        <v>3</v>
      </c>
      <c r="L4" s="29">
        <v>0.996</v>
      </c>
      <c r="M4" s="29" t="s">
        <v>114</v>
      </c>
    </row>
    <row r="5" spans="1:13" x14ac:dyDescent="0.35">
      <c r="A5" s="30">
        <v>45658</v>
      </c>
      <c r="B5" s="29" t="s">
        <v>20</v>
      </c>
      <c r="C5" s="29">
        <v>11389</v>
      </c>
      <c r="D5" s="29">
        <v>42.38</v>
      </c>
      <c r="E5" s="29">
        <v>482679</v>
      </c>
      <c r="F5" s="29">
        <v>304810</v>
      </c>
      <c r="G5" s="29">
        <v>67600</v>
      </c>
      <c r="H5" s="29">
        <v>110269</v>
      </c>
      <c r="I5" s="29">
        <v>189000</v>
      </c>
      <c r="J5" s="29">
        <v>0.25509999999999999</v>
      </c>
      <c r="K5" s="29">
        <v>11</v>
      </c>
      <c r="L5" s="29">
        <v>0.98519999999999996</v>
      </c>
      <c r="M5" s="29" t="s">
        <v>114</v>
      </c>
    </row>
    <row r="6" spans="1:13" x14ac:dyDescent="0.35">
      <c r="A6" s="30">
        <v>45658</v>
      </c>
      <c r="B6" s="29" t="s">
        <v>25</v>
      </c>
      <c r="C6" s="29">
        <v>1814</v>
      </c>
      <c r="D6" s="29">
        <v>118</v>
      </c>
      <c r="E6" s="29">
        <v>214054</v>
      </c>
      <c r="F6" s="29">
        <v>676776</v>
      </c>
      <c r="G6" s="29">
        <v>100700</v>
      </c>
      <c r="H6" s="29">
        <v>-563422</v>
      </c>
      <c r="I6" s="29">
        <v>598000</v>
      </c>
      <c r="J6" s="29">
        <v>0.12189999999999999</v>
      </c>
      <c r="K6" s="29">
        <v>28</v>
      </c>
      <c r="L6" s="29">
        <v>0.96240000000000003</v>
      </c>
      <c r="M6" s="29" t="s">
        <v>114</v>
      </c>
    </row>
    <row r="7" spans="1:13" x14ac:dyDescent="0.35">
      <c r="A7" s="30">
        <v>45689</v>
      </c>
      <c r="B7" s="29" t="s">
        <v>8</v>
      </c>
      <c r="C7" s="29">
        <v>54498.5</v>
      </c>
      <c r="D7" s="29">
        <v>82.72</v>
      </c>
      <c r="E7" s="29">
        <v>4508114</v>
      </c>
      <c r="F7" s="29">
        <v>1172297</v>
      </c>
      <c r="G7" s="29">
        <v>156000</v>
      </c>
      <c r="H7" s="29">
        <v>3179816</v>
      </c>
      <c r="I7" s="29">
        <v>64800</v>
      </c>
      <c r="J7" s="29">
        <v>0.45050000000000001</v>
      </c>
      <c r="K7" s="29">
        <v>18</v>
      </c>
      <c r="L7" s="29">
        <v>0.97319999999999995</v>
      </c>
      <c r="M7" s="29" t="s">
        <v>114</v>
      </c>
    </row>
    <row r="8" spans="1:13" x14ac:dyDescent="0.35">
      <c r="A8" s="30">
        <v>45689</v>
      </c>
      <c r="B8" s="29" t="s">
        <v>13</v>
      </c>
      <c r="C8" s="29">
        <v>4049.8</v>
      </c>
      <c r="D8" s="29">
        <v>80.19</v>
      </c>
      <c r="E8" s="29">
        <v>324757</v>
      </c>
      <c r="F8" s="29">
        <v>111021</v>
      </c>
      <c r="G8" s="29">
        <v>43050</v>
      </c>
      <c r="H8" s="29">
        <v>170687</v>
      </c>
      <c r="I8" s="29">
        <v>8320</v>
      </c>
      <c r="J8" s="29">
        <v>8.0399999999999999E-2</v>
      </c>
      <c r="K8" s="29">
        <v>7</v>
      </c>
      <c r="L8" s="29">
        <v>0.98960000000000004</v>
      </c>
      <c r="M8" s="29" t="s">
        <v>114</v>
      </c>
    </row>
    <row r="9" spans="1:13" x14ac:dyDescent="0.35">
      <c r="A9" s="30">
        <v>45689</v>
      </c>
      <c r="B9" s="29" t="s">
        <v>17</v>
      </c>
      <c r="C9" s="29">
        <v>2267.9</v>
      </c>
      <c r="D9" s="29">
        <v>80.19</v>
      </c>
      <c r="E9" s="29">
        <v>181864</v>
      </c>
      <c r="F9" s="29">
        <v>66086</v>
      </c>
      <c r="G9" s="29">
        <v>30750</v>
      </c>
      <c r="H9" s="29">
        <v>85029</v>
      </c>
      <c r="I9" s="29">
        <v>8320</v>
      </c>
      <c r="J9" s="29">
        <v>8.0399999999999999E-2</v>
      </c>
      <c r="K9" s="29">
        <v>7</v>
      </c>
      <c r="L9" s="29">
        <v>0.98960000000000004</v>
      </c>
      <c r="M9" s="29" t="s">
        <v>114</v>
      </c>
    </row>
    <row r="10" spans="1:13" x14ac:dyDescent="0.35">
      <c r="A10" s="30">
        <v>45689</v>
      </c>
      <c r="B10" s="29" t="s">
        <v>20</v>
      </c>
      <c r="C10" s="29">
        <v>11837.8</v>
      </c>
      <c r="D10" s="29">
        <v>42.94</v>
      </c>
      <c r="E10" s="29">
        <v>508337</v>
      </c>
      <c r="F10" s="29">
        <v>306599</v>
      </c>
      <c r="G10" s="29">
        <v>67600</v>
      </c>
      <c r="H10" s="29">
        <v>134138</v>
      </c>
      <c r="I10" s="29">
        <v>189000</v>
      </c>
      <c r="J10" s="29">
        <v>0.29360000000000003</v>
      </c>
      <c r="K10" s="29">
        <v>11</v>
      </c>
      <c r="L10" s="29">
        <v>0.98360000000000003</v>
      </c>
      <c r="M10" s="29" t="s">
        <v>114</v>
      </c>
    </row>
    <row r="11" spans="1:13" x14ac:dyDescent="0.35">
      <c r="A11" s="30">
        <v>45689</v>
      </c>
      <c r="B11" s="29" t="s">
        <v>25</v>
      </c>
      <c r="C11" s="29">
        <v>1805.3</v>
      </c>
      <c r="D11" s="29">
        <v>118</v>
      </c>
      <c r="E11" s="29">
        <v>213021</v>
      </c>
      <c r="F11" s="29">
        <v>675800</v>
      </c>
      <c r="G11" s="29">
        <v>100700</v>
      </c>
      <c r="H11" s="29">
        <v>-563479</v>
      </c>
      <c r="I11" s="29">
        <v>598000</v>
      </c>
      <c r="J11" s="29">
        <v>0.1343</v>
      </c>
      <c r="K11" s="29">
        <v>28</v>
      </c>
      <c r="L11" s="29">
        <v>0.95830000000000004</v>
      </c>
      <c r="M11" s="29" t="s">
        <v>114</v>
      </c>
    </row>
    <row r="12" spans="1:13" x14ac:dyDescent="0.35">
      <c r="A12" s="30">
        <v>45717</v>
      </c>
      <c r="B12" s="29" t="s">
        <v>8</v>
      </c>
      <c r="C12" s="29">
        <v>56636.7</v>
      </c>
      <c r="D12" s="29">
        <v>77.08</v>
      </c>
      <c r="E12" s="29">
        <v>4365558</v>
      </c>
      <c r="F12" s="29">
        <v>1190241</v>
      </c>
      <c r="G12" s="29">
        <v>156000</v>
      </c>
      <c r="H12" s="29">
        <v>3019317</v>
      </c>
      <c r="I12" s="29">
        <v>64800</v>
      </c>
      <c r="J12" s="29">
        <v>0.4229</v>
      </c>
      <c r="K12" s="29">
        <v>18</v>
      </c>
      <c r="L12" s="29">
        <v>0.9758</v>
      </c>
      <c r="M12" s="29" t="s">
        <v>114</v>
      </c>
    </row>
    <row r="13" spans="1:13" x14ac:dyDescent="0.35">
      <c r="A13" s="30">
        <v>45717</v>
      </c>
      <c r="B13" s="29" t="s">
        <v>13</v>
      </c>
      <c r="C13" s="29">
        <v>6769</v>
      </c>
      <c r="D13" s="29">
        <v>74.25</v>
      </c>
      <c r="E13" s="29">
        <v>502601</v>
      </c>
      <c r="F13" s="29">
        <v>119861</v>
      </c>
      <c r="G13" s="29">
        <v>43050</v>
      </c>
      <c r="H13" s="29">
        <v>339690</v>
      </c>
      <c r="I13" s="29">
        <v>31200</v>
      </c>
      <c r="J13" s="29">
        <v>0.12130000000000001</v>
      </c>
      <c r="K13" s="29">
        <v>3</v>
      </c>
      <c r="L13" s="29">
        <v>0.996</v>
      </c>
      <c r="M13" s="29" t="s">
        <v>114</v>
      </c>
    </row>
    <row r="14" spans="1:13" x14ac:dyDescent="0.35">
      <c r="A14" s="30">
        <v>45717</v>
      </c>
      <c r="B14" s="29" t="s">
        <v>17</v>
      </c>
      <c r="C14" s="29">
        <v>3790.7</v>
      </c>
      <c r="D14" s="29">
        <v>74.25</v>
      </c>
      <c r="E14" s="29">
        <v>281456</v>
      </c>
      <c r="F14" s="29">
        <v>71036</v>
      </c>
      <c r="G14" s="29">
        <v>30750</v>
      </c>
      <c r="H14" s="29">
        <v>179670</v>
      </c>
      <c r="I14" s="29">
        <v>31200</v>
      </c>
      <c r="J14" s="29">
        <v>0.12130000000000001</v>
      </c>
      <c r="K14" s="29">
        <v>3</v>
      </c>
      <c r="L14" s="29">
        <v>0.996</v>
      </c>
      <c r="M14" s="29" t="s">
        <v>114</v>
      </c>
    </row>
    <row r="15" spans="1:13" x14ac:dyDescent="0.35">
      <c r="A15" s="30">
        <v>45717</v>
      </c>
      <c r="B15" s="29" t="s">
        <v>20</v>
      </c>
      <c r="C15" s="29">
        <v>10955.8</v>
      </c>
      <c r="D15" s="29">
        <v>38.4</v>
      </c>
      <c r="E15" s="29">
        <v>420734</v>
      </c>
      <c r="F15" s="29">
        <v>300561</v>
      </c>
      <c r="G15" s="29">
        <v>67600</v>
      </c>
      <c r="H15" s="29">
        <v>52573</v>
      </c>
      <c r="I15" s="29">
        <v>189000</v>
      </c>
      <c r="J15" s="29">
        <v>0.24540000000000001</v>
      </c>
      <c r="K15" s="29">
        <v>23</v>
      </c>
      <c r="L15" s="29">
        <v>0.96909999999999996</v>
      </c>
      <c r="M15" s="29" t="s">
        <v>114</v>
      </c>
    </row>
    <row r="16" spans="1:13" x14ac:dyDescent="0.35">
      <c r="A16" s="30">
        <v>45717</v>
      </c>
      <c r="B16" s="29" t="s">
        <v>25</v>
      </c>
      <c r="C16" s="29">
        <v>2183.3000000000002</v>
      </c>
      <c r="D16" s="29">
        <v>118</v>
      </c>
      <c r="E16" s="29">
        <v>257634</v>
      </c>
      <c r="F16" s="29">
        <v>717938</v>
      </c>
      <c r="G16" s="29">
        <v>100700</v>
      </c>
      <c r="H16" s="29">
        <v>-561004</v>
      </c>
      <c r="I16" s="29">
        <v>920000</v>
      </c>
      <c r="J16" s="29">
        <v>0.1467</v>
      </c>
      <c r="K16" s="29">
        <v>28</v>
      </c>
      <c r="L16" s="29">
        <v>0.96240000000000003</v>
      </c>
      <c r="M16" s="29" t="s">
        <v>114</v>
      </c>
    </row>
    <row r="17" spans="1:13" x14ac:dyDescent="0.35">
      <c r="A17" s="30">
        <v>45748</v>
      </c>
      <c r="B17" s="29" t="s">
        <v>8</v>
      </c>
      <c r="C17" s="29">
        <v>46353.3</v>
      </c>
      <c r="D17" s="29">
        <v>71.44</v>
      </c>
      <c r="E17" s="29">
        <v>3311481</v>
      </c>
      <c r="F17" s="29">
        <v>1227988</v>
      </c>
      <c r="G17" s="29">
        <v>156000</v>
      </c>
      <c r="H17" s="29">
        <v>1927493</v>
      </c>
      <c r="I17" s="29">
        <v>270000</v>
      </c>
      <c r="J17" s="29">
        <v>0.35770000000000002</v>
      </c>
      <c r="K17" s="29">
        <v>32</v>
      </c>
      <c r="L17" s="29">
        <v>0.9556</v>
      </c>
      <c r="M17" s="29" t="s">
        <v>114</v>
      </c>
    </row>
    <row r="18" spans="1:13" x14ac:dyDescent="0.35">
      <c r="A18" s="30">
        <v>45748</v>
      </c>
      <c r="B18" s="29" t="s">
        <v>13</v>
      </c>
      <c r="C18" s="29">
        <v>8733.1</v>
      </c>
      <c r="D18" s="29">
        <v>68.31</v>
      </c>
      <c r="E18" s="29">
        <v>596555</v>
      </c>
      <c r="F18" s="29">
        <v>126248</v>
      </c>
      <c r="G18" s="29">
        <v>43050</v>
      </c>
      <c r="H18" s="29">
        <v>427257</v>
      </c>
      <c r="I18" s="29">
        <v>8320</v>
      </c>
      <c r="J18" s="29">
        <v>0.16170000000000001</v>
      </c>
      <c r="K18" s="29">
        <v>3</v>
      </c>
      <c r="L18" s="29">
        <v>0.99580000000000002</v>
      </c>
      <c r="M18" s="29" t="s">
        <v>114</v>
      </c>
    </row>
    <row r="19" spans="1:13" x14ac:dyDescent="0.35">
      <c r="A19" s="30">
        <v>45748</v>
      </c>
      <c r="B19" s="29" t="s">
        <v>17</v>
      </c>
      <c r="C19" s="29">
        <v>4890.5</v>
      </c>
      <c r="D19" s="29">
        <v>68.31</v>
      </c>
      <c r="E19" s="29">
        <v>334071</v>
      </c>
      <c r="F19" s="29">
        <v>74613</v>
      </c>
      <c r="G19" s="29">
        <v>30750</v>
      </c>
      <c r="H19" s="29">
        <v>228708</v>
      </c>
      <c r="I19" s="29">
        <v>8320</v>
      </c>
      <c r="J19" s="29">
        <v>0.16170000000000001</v>
      </c>
      <c r="K19" s="29">
        <v>3</v>
      </c>
      <c r="L19" s="29">
        <v>0.99580000000000002</v>
      </c>
      <c r="M19" s="29" t="s">
        <v>114</v>
      </c>
    </row>
    <row r="20" spans="1:13" x14ac:dyDescent="0.35">
      <c r="A20" s="30">
        <v>45748</v>
      </c>
      <c r="B20" s="29" t="s">
        <v>20</v>
      </c>
      <c r="C20" s="29">
        <v>11403</v>
      </c>
      <c r="D20" s="29">
        <v>38.96</v>
      </c>
      <c r="E20" s="29">
        <v>444308</v>
      </c>
      <c r="F20" s="29">
        <v>302350</v>
      </c>
      <c r="G20" s="29">
        <v>67600</v>
      </c>
      <c r="H20" s="29">
        <v>74358</v>
      </c>
      <c r="I20" s="29">
        <v>189000</v>
      </c>
      <c r="J20" s="29">
        <v>0.26400000000000001</v>
      </c>
      <c r="K20" s="29">
        <v>11</v>
      </c>
      <c r="L20" s="29">
        <v>0.98470000000000002</v>
      </c>
      <c r="M20" s="29" t="s">
        <v>114</v>
      </c>
    </row>
    <row r="21" spans="1:13" x14ac:dyDescent="0.35">
      <c r="A21" s="30">
        <v>45748</v>
      </c>
      <c r="B21" s="29" t="s">
        <v>25</v>
      </c>
      <c r="C21" s="29">
        <v>2291.6</v>
      </c>
      <c r="D21" s="29">
        <v>118</v>
      </c>
      <c r="E21" s="29">
        <v>270411</v>
      </c>
      <c r="F21" s="29">
        <v>730005</v>
      </c>
      <c r="G21" s="29">
        <v>100700</v>
      </c>
      <c r="H21" s="29">
        <v>-560295</v>
      </c>
      <c r="I21" s="29">
        <v>920000</v>
      </c>
      <c r="J21" s="29">
        <v>0.15909999999999999</v>
      </c>
      <c r="K21" s="29">
        <v>28</v>
      </c>
      <c r="L21" s="29">
        <v>0.96109999999999995</v>
      </c>
      <c r="M21" s="29" t="s">
        <v>114</v>
      </c>
    </row>
    <row r="22" spans="1:13" x14ac:dyDescent="0.35">
      <c r="A22" s="30">
        <v>45778</v>
      </c>
      <c r="B22" s="29" t="s">
        <v>8</v>
      </c>
      <c r="C22" s="29">
        <v>42477.5</v>
      </c>
      <c r="D22" s="29">
        <v>66.739999999999995</v>
      </c>
      <c r="E22" s="29">
        <v>2834951</v>
      </c>
      <c r="F22" s="29">
        <v>1065743</v>
      </c>
      <c r="G22" s="29">
        <v>156000</v>
      </c>
      <c r="H22" s="29">
        <v>1613208</v>
      </c>
      <c r="I22" s="29">
        <v>64800</v>
      </c>
      <c r="J22" s="29">
        <v>0.31719999999999998</v>
      </c>
      <c r="K22" s="29">
        <v>18</v>
      </c>
      <c r="L22" s="29">
        <v>0.9758</v>
      </c>
      <c r="M22" s="29" t="s">
        <v>114</v>
      </c>
    </row>
    <row r="23" spans="1:13" x14ac:dyDescent="0.35">
      <c r="A23" s="30">
        <v>45778</v>
      </c>
      <c r="B23" s="29" t="s">
        <v>13</v>
      </c>
      <c r="C23" s="29">
        <v>11281.7</v>
      </c>
      <c r="D23" s="29">
        <v>58.41</v>
      </c>
      <c r="E23" s="29">
        <v>658966</v>
      </c>
      <c r="F23" s="29">
        <v>134534</v>
      </c>
      <c r="G23" s="29">
        <v>43050</v>
      </c>
      <c r="H23" s="29">
        <v>481381</v>
      </c>
      <c r="I23" s="29">
        <v>8320</v>
      </c>
      <c r="J23" s="29">
        <v>0.20219999999999999</v>
      </c>
      <c r="K23" s="29">
        <v>3</v>
      </c>
      <c r="L23" s="29">
        <v>0.996</v>
      </c>
      <c r="M23" s="29" t="s">
        <v>114</v>
      </c>
    </row>
    <row r="24" spans="1:13" x14ac:dyDescent="0.35">
      <c r="A24" s="30">
        <v>45778</v>
      </c>
      <c r="B24" s="29" t="s">
        <v>17</v>
      </c>
      <c r="C24" s="29">
        <v>6317.8</v>
      </c>
      <c r="D24" s="29">
        <v>58.41</v>
      </c>
      <c r="E24" s="29">
        <v>369021</v>
      </c>
      <c r="F24" s="29">
        <v>79253</v>
      </c>
      <c r="G24" s="29">
        <v>30750</v>
      </c>
      <c r="H24" s="29">
        <v>259017</v>
      </c>
      <c r="I24" s="29">
        <v>8320</v>
      </c>
      <c r="J24" s="29">
        <v>0.20219999999999999</v>
      </c>
      <c r="K24" s="29">
        <v>3</v>
      </c>
      <c r="L24" s="29">
        <v>0.996</v>
      </c>
      <c r="M24" s="29" t="s">
        <v>114</v>
      </c>
    </row>
    <row r="25" spans="1:13" x14ac:dyDescent="0.35">
      <c r="A25" s="30">
        <v>45778</v>
      </c>
      <c r="B25" s="29" t="s">
        <v>20</v>
      </c>
      <c r="C25" s="29">
        <v>11858</v>
      </c>
      <c r="D25" s="29">
        <v>39.520000000000003</v>
      </c>
      <c r="E25" s="29">
        <v>468687</v>
      </c>
      <c r="F25" s="29">
        <v>304139</v>
      </c>
      <c r="G25" s="29">
        <v>67600</v>
      </c>
      <c r="H25" s="29">
        <v>96948</v>
      </c>
      <c r="I25" s="29">
        <v>189000</v>
      </c>
      <c r="J25" s="29">
        <v>0.2656</v>
      </c>
      <c r="K25" s="29">
        <v>11</v>
      </c>
      <c r="L25" s="29">
        <v>0.98519999999999996</v>
      </c>
      <c r="M25" s="29" t="s">
        <v>114</v>
      </c>
    </row>
    <row r="26" spans="1:13" x14ac:dyDescent="0.35">
      <c r="A26" s="30">
        <v>45778</v>
      </c>
      <c r="B26" s="29" t="s">
        <v>25</v>
      </c>
      <c r="C26" s="29">
        <v>2552.6999999999998</v>
      </c>
      <c r="D26" s="29">
        <v>118</v>
      </c>
      <c r="E26" s="29">
        <v>301214</v>
      </c>
      <c r="F26" s="29">
        <v>759100</v>
      </c>
      <c r="G26" s="29">
        <v>100700</v>
      </c>
      <c r="H26" s="29">
        <v>-558585</v>
      </c>
      <c r="I26" s="29">
        <v>920000</v>
      </c>
      <c r="J26" s="29">
        <v>0.1716</v>
      </c>
      <c r="K26" s="29">
        <v>51</v>
      </c>
      <c r="L26" s="29">
        <v>0.93149999999999999</v>
      </c>
      <c r="M26" s="29" t="s">
        <v>114</v>
      </c>
    </row>
    <row r="27" spans="1:13" x14ac:dyDescent="0.35">
      <c r="A27" s="30">
        <v>45809</v>
      </c>
      <c r="B27" s="29" t="s">
        <v>8</v>
      </c>
      <c r="C27" s="29">
        <v>37339.4</v>
      </c>
      <c r="D27" s="29">
        <v>62.98</v>
      </c>
      <c r="E27" s="29">
        <v>2351634</v>
      </c>
      <c r="F27" s="29">
        <v>1020747</v>
      </c>
      <c r="G27" s="29">
        <v>156000</v>
      </c>
      <c r="H27" s="29">
        <v>1174887</v>
      </c>
      <c r="I27" s="29">
        <v>64800</v>
      </c>
      <c r="J27" s="29">
        <v>0.28810000000000002</v>
      </c>
      <c r="K27" s="29">
        <v>18</v>
      </c>
      <c r="L27" s="29">
        <v>0.97499999999999998</v>
      </c>
      <c r="M27" s="29" t="s">
        <v>114</v>
      </c>
    </row>
    <row r="28" spans="1:13" x14ac:dyDescent="0.35">
      <c r="A28" s="30">
        <v>45809</v>
      </c>
      <c r="B28" s="29" t="s">
        <v>13</v>
      </c>
      <c r="C28" s="29">
        <v>12280.9</v>
      </c>
      <c r="D28" s="29">
        <v>54.45</v>
      </c>
      <c r="E28" s="29">
        <v>668693</v>
      </c>
      <c r="F28" s="29">
        <v>137785</v>
      </c>
      <c r="G28" s="29">
        <v>43050</v>
      </c>
      <c r="H28" s="29">
        <v>487858</v>
      </c>
      <c r="I28" s="29">
        <v>8320</v>
      </c>
      <c r="J28" s="29">
        <v>0.22739999999999999</v>
      </c>
      <c r="K28" s="29">
        <v>3</v>
      </c>
      <c r="L28" s="29">
        <v>0.99580000000000002</v>
      </c>
      <c r="M28" s="29" t="s">
        <v>114</v>
      </c>
    </row>
    <row r="29" spans="1:13" x14ac:dyDescent="0.35">
      <c r="A29" s="30">
        <v>45809</v>
      </c>
      <c r="B29" s="29" t="s">
        <v>17</v>
      </c>
      <c r="C29" s="29">
        <v>6877.3</v>
      </c>
      <c r="D29" s="29">
        <v>54.45</v>
      </c>
      <c r="E29" s="29">
        <v>374468</v>
      </c>
      <c r="F29" s="29">
        <v>81074</v>
      </c>
      <c r="G29" s="29">
        <v>30750</v>
      </c>
      <c r="H29" s="29">
        <v>262644</v>
      </c>
      <c r="I29" s="29">
        <v>8320</v>
      </c>
      <c r="J29" s="29">
        <v>0.22739999999999999</v>
      </c>
      <c r="K29" s="29">
        <v>3</v>
      </c>
      <c r="L29" s="29">
        <v>0.99580000000000002</v>
      </c>
      <c r="M29" s="29" t="s">
        <v>114</v>
      </c>
    </row>
    <row r="30" spans="1:13" x14ac:dyDescent="0.35">
      <c r="A30" s="30">
        <v>45809</v>
      </c>
      <c r="B30" s="29" t="s">
        <v>20</v>
      </c>
      <c r="C30" s="29">
        <v>12320.6</v>
      </c>
      <c r="D30" s="29">
        <v>40.090000000000003</v>
      </c>
      <c r="E30" s="29">
        <v>493885</v>
      </c>
      <c r="F30" s="29">
        <v>305928</v>
      </c>
      <c r="G30" s="29">
        <v>67600</v>
      </c>
      <c r="H30" s="29">
        <v>120357</v>
      </c>
      <c r="I30" s="29">
        <v>189000</v>
      </c>
      <c r="J30" s="29">
        <v>0.28520000000000001</v>
      </c>
      <c r="K30" s="29">
        <v>11</v>
      </c>
      <c r="L30" s="29">
        <v>0.98470000000000002</v>
      </c>
      <c r="M30" s="29" t="s">
        <v>114</v>
      </c>
    </row>
    <row r="31" spans="1:13" x14ac:dyDescent="0.35">
      <c r="A31" s="30">
        <v>45809</v>
      </c>
      <c r="B31" s="29" t="s">
        <v>25</v>
      </c>
      <c r="C31" s="29">
        <v>2649</v>
      </c>
      <c r="D31" s="29">
        <v>118</v>
      </c>
      <c r="E31" s="29">
        <v>312585</v>
      </c>
      <c r="F31" s="29">
        <v>769839</v>
      </c>
      <c r="G31" s="29">
        <v>100700</v>
      </c>
      <c r="H31" s="29">
        <v>-557954</v>
      </c>
      <c r="I31" s="29">
        <v>598000</v>
      </c>
      <c r="J31" s="29">
        <v>0.184</v>
      </c>
      <c r="K31" s="29">
        <v>28</v>
      </c>
      <c r="L31" s="29">
        <v>0.96109999999999995</v>
      </c>
      <c r="M31" s="29" t="s">
        <v>114</v>
      </c>
    </row>
    <row r="32" spans="1:13" x14ac:dyDescent="0.35">
      <c r="A32" s="30">
        <v>45839</v>
      </c>
      <c r="B32" s="29" t="s">
        <v>8</v>
      </c>
      <c r="C32" s="29">
        <v>37328.699999999997</v>
      </c>
      <c r="D32" s="29">
        <v>61.1</v>
      </c>
      <c r="E32" s="29">
        <v>2280786</v>
      </c>
      <c r="F32" s="29">
        <v>1020471</v>
      </c>
      <c r="G32" s="29">
        <v>156000</v>
      </c>
      <c r="H32" s="29">
        <v>1104315</v>
      </c>
      <c r="I32" s="29">
        <v>64800</v>
      </c>
      <c r="J32" s="29">
        <v>0.2787</v>
      </c>
      <c r="K32" s="29">
        <v>18</v>
      </c>
      <c r="L32" s="29">
        <v>0.9758</v>
      </c>
      <c r="M32" s="29" t="s">
        <v>114</v>
      </c>
    </row>
    <row r="33" spans="1:13" x14ac:dyDescent="0.35">
      <c r="A33" s="30">
        <v>45839</v>
      </c>
      <c r="B33" s="29" t="s">
        <v>13</v>
      </c>
      <c r="C33" s="29">
        <v>12974</v>
      </c>
      <c r="D33" s="29">
        <v>52.47</v>
      </c>
      <c r="E33" s="29">
        <v>680745</v>
      </c>
      <c r="F33" s="29">
        <v>140037</v>
      </c>
      <c r="G33" s="29">
        <v>43050</v>
      </c>
      <c r="H33" s="29">
        <v>497658</v>
      </c>
      <c r="I33" s="29">
        <v>8320</v>
      </c>
      <c r="J33" s="29">
        <v>0.23250000000000001</v>
      </c>
      <c r="K33" s="29">
        <v>3</v>
      </c>
      <c r="L33" s="29">
        <v>0.996</v>
      </c>
      <c r="M33" s="29" t="s">
        <v>114</v>
      </c>
    </row>
    <row r="34" spans="1:13" x14ac:dyDescent="0.35">
      <c r="A34" s="30">
        <v>45839</v>
      </c>
      <c r="B34" s="29" t="s">
        <v>17</v>
      </c>
      <c r="C34" s="29">
        <v>7265.4</v>
      </c>
      <c r="D34" s="29">
        <v>52.47</v>
      </c>
      <c r="E34" s="29">
        <v>381217</v>
      </c>
      <c r="F34" s="29">
        <v>82335</v>
      </c>
      <c r="G34" s="29">
        <v>30750</v>
      </c>
      <c r="H34" s="29">
        <v>268132</v>
      </c>
      <c r="I34" s="29">
        <v>8320</v>
      </c>
      <c r="J34" s="29">
        <v>0.23250000000000001</v>
      </c>
      <c r="K34" s="29">
        <v>3</v>
      </c>
      <c r="L34" s="29">
        <v>0.996</v>
      </c>
      <c r="M34" s="29" t="s">
        <v>114</v>
      </c>
    </row>
    <row r="35" spans="1:13" x14ac:dyDescent="0.35">
      <c r="A35" s="30">
        <v>45839</v>
      </c>
      <c r="B35" s="29" t="s">
        <v>20</v>
      </c>
      <c r="C35" s="29">
        <v>12791</v>
      </c>
      <c r="D35" s="29">
        <v>40.65</v>
      </c>
      <c r="E35" s="29">
        <v>519914</v>
      </c>
      <c r="F35" s="29">
        <v>307717</v>
      </c>
      <c r="G35" s="29">
        <v>67600</v>
      </c>
      <c r="H35" s="29">
        <v>144598</v>
      </c>
      <c r="I35" s="29">
        <v>189000</v>
      </c>
      <c r="J35" s="29">
        <v>0.28649999999999998</v>
      </c>
      <c r="K35" s="29">
        <v>11</v>
      </c>
      <c r="L35" s="29">
        <v>0.98519999999999996</v>
      </c>
      <c r="M35" s="29" t="s">
        <v>114</v>
      </c>
    </row>
    <row r="36" spans="1:13" x14ac:dyDescent="0.35">
      <c r="A36" s="30">
        <v>45839</v>
      </c>
      <c r="B36" s="29" t="s">
        <v>25</v>
      </c>
      <c r="C36" s="29">
        <v>2922</v>
      </c>
      <c r="D36" s="29">
        <v>118</v>
      </c>
      <c r="E36" s="29">
        <v>344794</v>
      </c>
      <c r="F36" s="29">
        <v>800261</v>
      </c>
      <c r="G36" s="29">
        <v>100700</v>
      </c>
      <c r="H36" s="29">
        <v>-556167</v>
      </c>
      <c r="I36" s="29">
        <v>598000</v>
      </c>
      <c r="J36" s="29">
        <v>0.19639999999999999</v>
      </c>
      <c r="K36" s="29">
        <v>28</v>
      </c>
      <c r="L36" s="29">
        <v>0.96240000000000003</v>
      </c>
      <c r="M36" s="29" t="s">
        <v>114</v>
      </c>
    </row>
    <row r="37" spans="1:13" x14ac:dyDescent="0.35">
      <c r="A37" s="30">
        <v>45870</v>
      </c>
      <c r="B37" s="29" t="s">
        <v>8</v>
      </c>
      <c r="C37" s="29">
        <v>39903.1</v>
      </c>
      <c r="D37" s="29">
        <v>63.92</v>
      </c>
      <c r="E37" s="29">
        <v>2550609</v>
      </c>
      <c r="F37" s="29">
        <v>1043107</v>
      </c>
      <c r="G37" s="29">
        <v>156000</v>
      </c>
      <c r="H37" s="29">
        <v>1351502</v>
      </c>
      <c r="I37" s="29">
        <v>64800</v>
      </c>
      <c r="J37" s="29">
        <v>0.29799999999999999</v>
      </c>
      <c r="K37" s="29">
        <v>18</v>
      </c>
      <c r="L37" s="29">
        <v>0.9758</v>
      </c>
      <c r="M37" s="29" t="s">
        <v>114</v>
      </c>
    </row>
    <row r="38" spans="1:13" x14ac:dyDescent="0.35">
      <c r="A38" s="30">
        <v>45870</v>
      </c>
      <c r="B38" s="29" t="s">
        <v>13</v>
      </c>
      <c r="C38" s="29">
        <v>11563.8</v>
      </c>
      <c r="D38" s="29">
        <v>55.44</v>
      </c>
      <c r="E38" s="29">
        <v>641095</v>
      </c>
      <c r="F38" s="29">
        <v>135452</v>
      </c>
      <c r="G38" s="29">
        <v>43050</v>
      </c>
      <c r="H38" s="29">
        <v>462594</v>
      </c>
      <c r="I38" s="29">
        <v>8320</v>
      </c>
      <c r="J38" s="29">
        <v>0.2072</v>
      </c>
      <c r="K38" s="29">
        <v>3</v>
      </c>
      <c r="L38" s="29">
        <v>0.996</v>
      </c>
      <c r="M38" s="29" t="s">
        <v>114</v>
      </c>
    </row>
    <row r="39" spans="1:13" x14ac:dyDescent="0.35">
      <c r="A39" s="30">
        <v>45870</v>
      </c>
      <c r="B39" s="29" t="s">
        <v>17</v>
      </c>
      <c r="C39" s="29">
        <v>6475.7</v>
      </c>
      <c r="D39" s="29">
        <v>55.44</v>
      </c>
      <c r="E39" s="29">
        <v>359013</v>
      </c>
      <c r="F39" s="29">
        <v>79767</v>
      </c>
      <c r="G39" s="29">
        <v>30750</v>
      </c>
      <c r="H39" s="29">
        <v>248496</v>
      </c>
      <c r="I39" s="29">
        <v>8320</v>
      </c>
      <c r="J39" s="29">
        <v>0.2072</v>
      </c>
      <c r="K39" s="29">
        <v>3</v>
      </c>
      <c r="L39" s="29">
        <v>0.996</v>
      </c>
      <c r="M39" s="29" t="s">
        <v>114</v>
      </c>
    </row>
    <row r="40" spans="1:13" x14ac:dyDescent="0.35">
      <c r="A40" s="30">
        <v>45870</v>
      </c>
      <c r="B40" s="29" t="s">
        <v>20</v>
      </c>
      <c r="C40" s="29">
        <v>13269</v>
      </c>
      <c r="D40" s="29">
        <v>41.21</v>
      </c>
      <c r="E40" s="29">
        <v>546787</v>
      </c>
      <c r="F40" s="29">
        <v>309505</v>
      </c>
      <c r="G40" s="29">
        <v>67600</v>
      </c>
      <c r="H40" s="29">
        <v>169682</v>
      </c>
      <c r="I40" s="29">
        <v>189000</v>
      </c>
      <c r="J40" s="29">
        <v>0.29720000000000002</v>
      </c>
      <c r="K40" s="29">
        <v>11</v>
      </c>
      <c r="L40" s="29">
        <v>0.98519999999999996</v>
      </c>
      <c r="M40" s="29" t="s">
        <v>114</v>
      </c>
    </row>
    <row r="41" spans="1:13" x14ac:dyDescent="0.35">
      <c r="A41" s="30">
        <v>45870</v>
      </c>
      <c r="B41" s="29" t="s">
        <v>25</v>
      </c>
      <c r="C41" s="29">
        <v>3106.6</v>
      </c>
      <c r="D41" s="29">
        <v>118</v>
      </c>
      <c r="E41" s="29">
        <v>366584</v>
      </c>
      <c r="F41" s="29">
        <v>820842</v>
      </c>
      <c r="G41" s="29">
        <v>100700</v>
      </c>
      <c r="H41" s="29">
        <v>-554958</v>
      </c>
      <c r="I41" s="29">
        <v>598000</v>
      </c>
      <c r="J41" s="29">
        <v>0.20880000000000001</v>
      </c>
      <c r="K41" s="29">
        <v>28</v>
      </c>
      <c r="L41" s="29">
        <v>0.96240000000000003</v>
      </c>
      <c r="M41" s="29" t="s">
        <v>114</v>
      </c>
    </row>
    <row r="42" spans="1:13" x14ac:dyDescent="0.35">
      <c r="A42" s="30">
        <v>45901</v>
      </c>
      <c r="B42" s="29" t="s">
        <v>8</v>
      </c>
      <c r="C42" s="29">
        <v>44807.3</v>
      </c>
      <c r="D42" s="29">
        <v>69.56</v>
      </c>
      <c r="E42" s="29">
        <v>3116793</v>
      </c>
      <c r="F42" s="29">
        <v>1086447</v>
      </c>
      <c r="G42" s="29">
        <v>156000</v>
      </c>
      <c r="H42" s="29">
        <v>1874346</v>
      </c>
      <c r="I42" s="29">
        <v>64800</v>
      </c>
      <c r="J42" s="29">
        <v>0.34570000000000001</v>
      </c>
      <c r="K42" s="29">
        <v>18</v>
      </c>
      <c r="L42" s="29">
        <v>0.97499999999999998</v>
      </c>
      <c r="M42" s="29" t="s">
        <v>114</v>
      </c>
    </row>
    <row r="43" spans="1:13" x14ac:dyDescent="0.35">
      <c r="A43" s="30">
        <v>45901</v>
      </c>
      <c r="B43" s="29" t="s">
        <v>13</v>
      </c>
      <c r="C43" s="29">
        <v>8460.2000000000007</v>
      </c>
      <c r="D43" s="29">
        <v>66.33</v>
      </c>
      <c r="E43" s="29">
        <v>561162</v>
      </c>
      <c r="F43" s="29">
        <v>125361</v>
      </c>
      <c r="G43" s="29">
        <v>43050</v>
      </c>
      <c r="H43" s="29">
        <v>392751</v>
      </c>
      <c r="I43" s="29">
        <v>31200</v>
      </c>
      <c r="J43" s="29">
        <v>0.15670000000000001</v>
      </c>
      <c r="K43" s="29">
        <v>3</v>
      </c>
      <c r="L43" s="29">
        <v>0.99580000000000002</v>
      </c>
      <c r="M43" s="29" t="s">
        <v>114</v>
      </c>
    </row>
    <row r="44" spans="1:13" x14ac:dyDescent="0.35">
      <c r="A44" s="30">
        <v>45901</v>
      </c>
      <c r="B44" s="29" t="s">
        <v>17</v>
      </c>
      <c r="C44" s="29">
        <v>4737.7</v>
      </c>
      <c r="D44" s="29">
        <v>66.33</v>
      </c>
      <c r="E44" s="29">
        <v>314251</v>
      </c>
      <c r="F44" s="29">
        <v>74116</v>
      </c>
      <c r="G44" s="29">
        <v>30750</v>
      </c>
      <c r="H44" s="29">
        <v>209385</v>
      </c>
      <c r="I44" s="29">
        <v>31200</v>
      </c>
      <c r="J44" s="29">
        <v>0.15670000000000001</v>
      </c>
      <c r="K44" s="29">
        <v>3</v>
      </c>
      <c r="L44" s="29">
        <v>0.99580000000000002</v>
      </c>
      <c r="M44" s="29" t="s">
        <v>114</v>
      </c>
    </row>
    <row r="45" spans="1:13" x14ac:dyDescent="0.35">
      <c r="A45" s="30">
        <v>45901</v>
      </c>
      <c r="B45" s="29" t="s">
        <v>20</v>
      </c>
      <c r="C45" s="29">
        <v>13754.6</v>
      </c>
      <c r="D45" s="29">
        <v>41.77</v>
      </c>
      <c r="E45" s="29">
        <v>574518</v>
      </c>
      <c r="F45" s="29">
        <v>311294</v>
      </c>
      <c r="G45" s="29">
        <v>67600</v>
      </c>
      <c r="H45" s="29">
        <v>195623</v>
      </c>
      <c r="I45" s="29">
        <v>75600</v>
      </c>
      <c r="J45" s="29">
        <v>0.31840000000000002</v>
      </c>
      <c r="K45" s="29">
        <v>23</v>
      </c>
      <c r="L45" s="29">
        <v>0.96809999999999996</v>
      </c>
      <c r="M45" s="29" t="s">
        <v>114</v>
      </c>
    </row>
    <row r="46" spans="1:13" x14ac:dyDescent="0.35">
      <c r="A46" s="30">
        <v>45901</v>
      </c>
      <c r="B46" s="29" t="s">
        <v>25</v>
      </c>
      <c r="C46" s="29">
        <v>3185.1</v>
      </c>
      <c r="D46" s="29">
        <v>118</v>
      </c>
      <c r="E46" s="29">
        <v>375846</v>
      </c>
      <c r="F46" s="29">
        <v>829590</v>
      </c>
      <c r="G46" s="29">
        <v>100700</v>
      </c>
      <c r="H46" s="29">
        <v>-554444</v>
      </c>
      <c r="I46" s="29">
        <v>598000</v>
      </c>
      <c r="J46" s="29">
        <v>0.22120000000000001</v>
      </c>
      <c r="K46" s="29">
        <v>28</v>
      </c>
      <c r="L46" s="29">
        <v>0.96109999999999995</v>
      </c>
      <c r="M46" s="29" t="s">
        <v>114</v>
      </c>
    </row>
    <row r="47" spans="1:13" x14ac:dyDescent="0.35">
      <c r="A47" s="30">
        <v>45931</v>
      </c>
      <c r="B47" s="29" t="s">
        <v>8</v>
      </c>
      <c r="C47" s="29">
        <v>53019.8</v>
      </c>
      <c r="D47" s="29">
        <v>77.08</v>
      </c>
      <c r="E47" s="29">
        <v>4086766</v>
      </c>
      <c r="F47" s="29">
        <v>1286387</v>
      </c>
      <c r="G47" s="29">
        <v>156000</v>
      </c>
      <c r="H47" s="29">
        <v>2644378</v>
      </c>
      <c r="I47" s="29">
        <v>270000</v>
      </c>
      <c r="J47" s="29">
        <v>0.39589999999999997</v>
      </c>
      <c r="K47" s="29">
        <v>32</v>
      </c>
      <c r="L47" s="29">
        <v>0.95699999999999996</v>
      </c>
      <c r="M47" s="29" t="s">
        <v>114</v>
      </c>
    </row>
    <row r="48" spans="1:13" x14ac:dyDescent="0.35">
      <c r="A48" s="30">
        <v>45931</v>
      </c>
      <c r="B48" s="29" t="s">
        <v>13</v>
      </c>
      <c r="C48" s="29">
        <v>5922.9</v>
      </c>
      <c r="D48" s="29">
        <v>74.25</v>
      </c>
      <c r="E48" s="29">
        <v>439776</v>
      </c>
      <c r="F48" s="29">
        <v>117109</v>
      </c>
      <c r="G48" s="29">
        <v>43050</v>
      </c>
      <c r="H48" s="29">
        <v>279616</v>
      </c>
      <c r="I48" s="29">
        <v>8320</v>
      </c>
      <c r="J48" s="29">
        <v>0.1061</v>
      </c>
      <c r="K48" s="29">
        <v>3</v>
      </c>
      <c r="L48" s="29">
        <v>0.996</v>
      </c>
      <c r="M48" s="29" t="s">
        <v>114</v>
      </c>
    </row>
    <row r="49" spans="1:13" x14ac:dyDescent="0.35">
      <c r="A49" s="30">
        <v>45931</v>
      </c>
      <c r="B49" s="29" t="s">
        <v>17</v>
      </c>
      <c r="C49" s="29">
        <v>3316.8</v>
      </c>
      <c r="D49" s="29">
        <v>74.25</v>
      </c>
      <c r="E49" s="29">
        <v>246274</v>
      </c>
      <c r="F49" s="29">
        <v>69495</v>
      </c>
      <c r="G49" s="29">
        <v>30750</v>
      </c>
      <c r="H49" s="29">
        <v>146029</v>
      </c>
      <c r="I49" s="29">
        <v>8320</v>
      </c>
      <c r="J49" s="29">
        <v>0.1061</v>
      </c>
      <c r="K49" s="29">
        <v>3</v>
      </c>
      <c r="L49" s="29">
        <v>0.996</v>
      </c>
      <c r="M49" s="29" t="s">
        <v>114</v>
      </c>
    </row>
    <row r="50" spans="1:13" x14ac:dyDescent="0.35">
      <c r="A50" s="30">
        <v>45931</v>
      </c>
      <c r="B50" s="29" t="s">
        <v>20</v>
      </c>
      <c r="C50" s="29">
        <v>14248</v>
      </c>
      <c r="D50" s="29">
        <v>42.33</v>
      </c>
      <c r="E50" s="29">
        <v>603118</v>
      </c>
      <c r="F50" s="29">
        <v>313083</v>
      </c>
      <c r="G50" s="29">
        <v>67600</v>
      </c>
      <c r="H50" s="29">
        <v>222435</v>
      </c>
      <c r="I50" s="29">
        <v>75600</v>
      </c>
      <c r="J50" s="29">
        <v>0.31919999999999998</v>
      </c>
      <c r="K50" s="29">
        <v>11</v>
      </c>
      <c r="L50" s="29">
        <v>0.98519999999999996</v>
      </c>
      <c r="M50" s="29" t="s">
        <v>114</v>
      </c>
    </row>
    <row r="51" spans="1:13" x14ac:dyDescent="0.35">
      <c r="A51" s="30">
        <v>45931</v>
      </c>
      <c r="B51" s="29" t="s">
        <v>25</v>
      </c>
      <c r="C51" s="29">
        <v>3476</v>
      </c>
      <c r="D51" s="29">
        <v>118</v>
      </c>
      <c r="E51" s="29">
        <v>410164</v>
      </c>
      <c r="F51" s="29">
        <v>862004</v>
      </c>
      <c r="G51" s="29">
        <v>100700</v>
      </c>
      <c r="H51" s="29">
        <v>-552540</v>
      </c>
      <c r="I51" s="29">
        <v>598000</v>
      </c>
      <c r="J51" s="29">
        <v>0.2336</v>
      </c>
      <c r="K51" s="29">
        <v>28</v>
      </c>
      <c r="L51" s="29">
        <v>0.96240000000000003</v>
      </c>
      <c r="M51" s="29" t="s">
        <v>114</v>
      </c>
    </row>
    <row r="52" spans="1:13" x14ac:dyDescent="0.35">
      <c r="A52" s="30">
        <v>45962</v>
      </c>
      <c r="B52" s="29" t="s">
        <v>8</v>
      </c>
      <c r="C52" s="29">
        <v>58498.400000000001</v>
      </c>
      <c r="D52" s="29">
        <v>82.72</v>
      </c>
      <c r="E52" s="29">
        <v>4838985</v>
      </c>
      <c r="F52" s="29">
        <v>1206895</v>
      </c>
      <c r="G52" s="29">
        <v>156000</v>
      </c>
      <c r="H52" s="29">
        <v>3476089</v>
      </c>
      <c r="I52" s="29">
        <v>64800</v>
      </c>
      <c r="J52" s="29">
        <v>0.45140000000000002</v>
      </c>
      <c r="K52" s="29">
        <v>18</v>
      </c>
      <c r="L52" s="29">
        <v>0.97499999999999998</v>
      </c>
      <c r="M52" s="29" t="s">
        <v>114</v>
      </c>
    </row>
    <row r="53" spans="1:13" x14ac:dyDescent="0.35">
      <c r="A53" s="30">
        <v>45962</v>
      </c>
      <c r="B53" s="29" t="s">
        <v>13</v>
      </c>
      <c r="C53" s="29">
        <v>3528</v>
      </c>
      <c r="D53" s="29">
        <v>80.19</v>
      </c>
      <c r="E53" s="29">
        <v>282911</v>
      </c>
      <c r="F53" s="29">
        <v>109323</v>
      </c>
      <c r="G53" s="29">
        <v>43050</v>
      </c>
      <c r="H53" s="29">
        <v>130539</v>
      </c>
      <c r="I53" s="29">
        <v>8320</v>
      </c>
      <c r="J53" s="29">
        <v>6.5299999999999997E-2</v>
      </c>
      <c r="K53" s="29">
        <v>7</v>
      </c>
      <c r="L53" s="29">
        <v>0.99029999999999996</v>
      </c>
      <c r="M53" s="29" t="s">
        <v>114</v>
      </c>
    </row>
    <row r="54" spans="1:13" x14ac:dyDescent="0.35">
      <c r="A54" s="30">
        <v>45962</v>
      </c>
      <c r="B54" s="29" t="s">
        <v>17</v>
      </c>
      <c r="C54" s="29">
        <v>1975.7</v>
      </c>
      <c r="D54" s="29">
        <v>80.19</v>
      </c>
      <c r="E54" s="29">
        <v>158430</v>
      </c>
      <c r="F54" s="29">
        <v>65135</v>
      </c>
      <c r="G54" s="29">
        <v>30750</v>
      </c>
      <c r="H54" s="29">
        <v>62546</v>
      </c>
      <c r="I54" s="29">
        <v>8320</v>
      </c>
      <c r="J54" s="29">
        <v>6.5299999999999997E-2</v>
      </c>
      <c r="K54" s="29">
        <v>7</v>
      </c>
      <c r="L54" s="29">
        <v>0.99029999999999996</v>
      </c>
      <c r="M54" s="29" t="s">
        <v>114</v>
      </c>
    </row>
    <row r="55" spans="1:13" x14ac:dyDescent="0.35">
      <c r="A55" s="30">
        <v>45962</v>
      </c>
      <c r="B55" s="29" t="s">
        <v>20</v>
      </c>
      <c r="C55" s="29">
        <v>16221.8</v>
      </c>
      <c r="D55" s="29">
        <v>47.99</v>
      </c>
      <c r="E55" s="29">
        <v>778502</v>
      </c>
      <c r="F55" s="29">
        <v>322698</v>
      </c>
      <c r="G55" s="29">
        <v>67600</v>
      </c>
      <c r="H55" s="29">
        <v>388205</v>
      </c>
      <c r="I55" s="29">
        <v>75600</v>
      </c>
      <c r="J55" s="29">
        <v>0.3755</v>
      </c>
      <c r="K55" s="29">
        <v>11</v>
      </c>
      <c r="L55" s="29">
        <v>0.98470000000000002</v>
      </c>
      <c r="M55" s="29" t="s">
        <v>114</v>
      </c>
    </row>
    <row r="56" spans="1:13" x14ac:dyDescent="0.35">
      <c r="A56" s="30">
        <v>45962</v>
      </c>
      <c r="B56" s="29" t="s">
        <v>25</v>
      </c>
      <c r="C56" s="29">
        <v>3542.5</v>
      </c>
      <c r="D56" s="29">
        <v>118</v>
      </c>
      <c r="E56" s="29">
        <v>418020</v>
      </c>
      <c r="F56" s="29">
        <v>869424</v>
      </c>
      <c r="G56" s="29">
        <v>100700</v>
      </c>
      <c r="H56" s="29">
        <v>-552104</v>
      </c>
      <c r="I56" s="29">
        <v>598000</v>
      </c>
      <c r="J56" s="29">
        <v>0.246</v>
      </c>
      <c r="K56" s="29">
        <v>51</v>
      </c>
      <c r="L56" s="29">
        <v>0.92920000000000003</v>
      </c>
      <c r="M56" s="29" t="s">
        <v>114</v>
      </c>
    </row>
    <row r="57" spans="1:13" x14ac:dyDescent="0.35">
      <c r="A57" s="30">
        <v>45992</v>
      </c>
      <c r="B57" s="29" t="s">
        <v>8</v>
      </c>
      <c r="C57" s="29">
        <v>65647.100000000006</v>
      </c>
      <c r="D57" s="29">
        <v>88.36</v>
      </c>
      <c r="E57" s="29">
        <v>5800578</v>
      </c>
      <c r="F57" s="29">
        <v>1269466</v>
      </c>
      <c r="G57" s="29">
        <v>156000</v>
      </c>
      <c r="H57" s="29">
        <v>4375111</v>
      </c>
      <c r="I57" s="29">
        <v>64800</v>
      </c>
      <c r="J57" s="29">
        <v>0.49020000000000002</v>
      </c>
      <c r="K57" s="29">
        <v>18</v>
      </c>
      <c r="L57" s="29">
        <v>0.9758</v>
      </c>
      <c r="M57" s="29" t="s">
        <v>114</v>
      </c>
    </row>
    <row r="58" spans="1:13" x14ac:dyDescent="0.35">
      <c r="A58" s="30">
        <v>45992</v>
      </c>
      <c r="B58" s="29" t="s">
        <v>13</v>
      </c>
      <c r="C58" s="29">
        <v>2820.4</v>
      </c>
      <c r="D58" s="29">
        <v>86.13</v>
      </c>
      <c r="E58" s="29">
        <v>242924</v>
      </c>
      <c r="F58" s="29">
        <v>107021</v>
      </c>
      <c r="G58" s="29">
        <v>43050</v>
      </c>
      <c r="H58" s="29">
        <v>92853</v>
      </c>
      <c r="I58" s="29">
        <v>8320</v>
      </c>
      <c r="J58" s="29">
        <v>5.0500000000000003E-2</v>
      </c>
      <c r="K58" s="29">
        <v>3</v>
      </c>
      <c r="L58" s="29">
        <v>0.996</v>
      </c>
      <c r="M58" s="29" t="s">
        <v>114</v>
      </c>
    </row>
    <row r="59" spans="1:13" x14ac:dyDescent="0.35">
      <c r="A59" s="30">
        <v>45992</v>
      </c>
      <c r="B59" s="29" t="s">
        <v>17</v>
      </c>
      <c r="C59" s="29">
        <v>1579.4</v>
      </c>
      <c r="D59" s="29">
        <v>86.13</v>
      </c>
      <c r="E59" s="29">
        <v>136037</v>
      </c>
      <c r="F59" s="29">
        <v>63846</v>
      </c>
      <c r="G59" s="29">
        <v>30750</v>
      </c>
      <c r="H59" s="29">
        <v>41441</v>
      </c>
      <c r="I59" s="29">
        <v>8320</v>
      </c>
      <c r="J59" s="29">
        <v>5.0500000000000003E-2</v>
      </c>
      <c r="K59" s="29">
        <v>3</v>
      </c>
      <c r="L59" s="29">
        <v>0.996</v>
      </c>
      <c r="M59" s="29" t="s">
        <v>114</v>
      </c>
    </row>
    <row r="60" spans="1:13" x14ac:dyDescent="0.35">
      <c r="A60" s="30">
        <v>45992</v>
      </c>
      <c r="B60" s="29" t="s">
        <v>20</v>
      </c>
      <c r="C60" s="29">
        <v>16747.400000000001</v>
      </c>
      <c r="D60" s="29">
        <v>48.55</v>
      </c>
      <c r="E60" s="29">
        <v>813118</v>
      </c>
      <c r="F60" s="29">
        <v>324487</v>
      </c>
      <c r="G60" s="29">
        <v>67600</v>
      </c>
      <c r="H60" s="29">
        <v>421031</v>
      </c>
      <c r="I60" s="29">
        <v>75600</v>
      </c>
      <c r="J60" s="29">
        <v>0.37519999999999998</v>
      </c>
      <c r="K60" s="29">
        <v>11</v>
      </c>
      <c r="L60" s="29">
        <v>0.98519999999999996</v>
      </c>
      <c r="M60" s="29" t="s">
        <v>114</v>
      </c>
    </row>
    <row r="61" spans="1:13" x14ac:dyDescent="0.35">
      <c r="A61" s="30">
        <v>45992</v>
      </c>
      <c r="B61" s="29" t="s">
        <v>25</v>
      </c>
      <c r="C61" s="29">
        <v>3845.3</v>
      </c>
      <c r="D61" s="29">
        <v>118</v>
      </c>
      <c r="E61" s="29">
        <v>453744</v>
      </c>
      <c r="F61" s="29">
        <v>903165</v>
      </c>
      <c r="G61" s="29">
        <v>100700</v>
      </c>
      <c r="H61" s="29">
        <v>-550121</v>
      </c>
      <c r="I61" s="29">
        <v>598000</v>
      </c>
      <c r="J61" s="29">
        <v>0.25840000000000002</v>
      </c>
      <c r="K61" s="29">
        <v>28</v>
      </c>
      <c r="L61" s="29">
        <v>0.96240000000000003</v>
      </c>
      <c r="M61" s="29" t="s">
        <v>114</v>
      </c>
    </row>
    <row r="62" spans="1:13" x14ac:dyDescent="0.35">
      <c r="A62" s="30">
        <v>46023</v>
      </c>
      <c r="B62" s="29" t="s">
        <v>8</v>
      </c>
      <c r="C62" s="29">
        <v>64714.5</v>
      </c>
      <c r="D62" s="29">
        <v>84.94</v>
      </c>
      <c r="E62" s="29">
        <v>5496901</v>
      </c>
      <c r="F62" s="29">
        <v>1258148</v>
      </c>
      <c r="G62" s="29">
        <v>156000</v>
      </c>
      <c r="H62" s="29">
        <v>4082753</v>
      </c>
      <c r="I62" s="29">
        <v>64800</v>
      </c>
      <c r="J62" s="29">
        <v>0.48320000000000002</v>
      </c>
      <c r="K62" s="29">
        <v>14</v>
      </c>
      <c r="L62" s="29">
        <v>0.98119999999999996</v>
      </c>
      <c r="M62" s="29" t="s">
        <v>114</v>
      </c>
    </row>
    <row r="63" spans="1:13" x14ac:dyDescent="0.35">
      <c r="A63" s="30">
        <v>46023</v>
      </c>
      <c r="B63" s="29" t="s">
        <v>13</v>
      </c>
      <c r="C63" s="29">
        <v>3102.5</v>
      </c>
      <c r="D63" s="29">
        <v>80.67</v>
      </c>
      <c r="E63" s="29">
        <v>250262</v>
      </c>
      <c r="F63" s="29">
        <v>107938</v>
      </c>
      <c r="G63" s="29">
        <v>43050</v>
      </c>
      <c r="H63" s="29">
        <v>99273</v>
      </c>
      <c r="I63" s="29">
        <v>8320</v>
      </c>
      <c r="J63" s="29">
        <v>5.5599999999999997E-2</v>
      </c>
      <c r="K63" s="29">
        <v>3</v>
      </c>
      <c r="L63" s="29">
        <v>0.996</v>
      </c>
      <c r="M63" s="29" t="s">
        <v>114</v>
      </c>
    </row>
    <row r="64" spans="1:13" x14ac:dyDescent="0.35">
      <c r="A64" s="30">
        <v>46023</v>
      </c>
      <c r="B64" s="29" t="s">
        <v>17</v>
      </c>
      <c r="C64" s="29">
        <v>1737.4</v>
      </c>
      <c r="D64" s="29">
        <v>80.67</v>
      </c>
      <c r="E64" s="29">
        <v>140147</v>
      </c>
      <c r="F64" s="29">
        <v>64359</v>
      </c>
      <c r="G64" s="29">
        <v>30750</v>
      </c>
      <c r="H64" s="29">
        <v>45037</v>
      </c>
      <c r="I64" s="29">
        <v>8320</v>
      </c>
      <c r="J64" s="29">
        <v>5.5599999999999997E-2</v>
      </c>
      <c r="K64" s="29">
        <v>3</v>
      </c>
      <c r="L64" s="29">
        <v>0.996</v>
      </c>
      <c r="M64" s="29" t="s">
        <v>114</v>
      </c>
    </row>
    <row r="65" spans="1:13" x14ac:dyDescent="0.35">
      <c r="A65" s="30">
        <v>46023</v>
      </c>
      <c r="B65" s="29" t="s">
        <v>20</v>
      </c>
      <c r="C65" s="29">
        <v>18083.599999999999</v>
      </c>
      <c r="D65" s="29">
        <v>51.52</v>
      </c>
      <c r="E65" s="29">
        <v>931674</v>
      </c>
      <c r="F65" s="29">
        <v>320205</v>
      </c>
      <c r="G65" s="29">
        <v>67600</v>
      </c>
      <c r="H65" s="29">
        <v>543869</v>
      </c>
      <c r="I65" s="29">
        <v>75600</v>
      </c>
      <c r="J65" s="29">
        <v>0.40510000000000002</v>
      </c>
      <c r="K65" s="29">
        <v>11</v>
      </c>
      <c r="L65" s="29">
        <v>0.98519999999999996</v>
      </c>
      <c r="M65" s="29" t="s">
        <v>114</v>
      </c>
    </row>
    <row r="66" spans="1:13" x14ac:dyDescent="0.35">
      <c r="A66" s="30">
        <v>46023</v>
      </c>
      <c r="B66" s="29" t="s">
        <v>25</v>
      </c>
      <c r="C66" s="29">
        <v>4637.2</v>
      </c>
      <c r="D66" s="29">
        <v>118</v>
      </c>
      <c r="E66" s="29">
        <v>547190</v>
      </c>
      <c r="F66" s="29">
        <v>891047</v>
      </c>
      <c r="G66" s="29">
        <v>100700</v>
      </c>
      <c r="H66" s="29">
        <v>-444557</v>
      </c>
      <c r="I66" s="29">
        <v>462000</v>
      </c>
      <c r="J66" s="29">
        <v>0.31159999999999999</v>
      </c>
      <c r="K66" s="29">
        <v>28</v>
      </c>
      <c r="L66" s="29">
        <v>0.96240000000000003</v>
      </c>
      <c r="M66" s="29" t="s">
        <v>114</v>
      </c>
    </row>
    <row r="67" spans="1:13" x14ac:dyDescent="0.35">
      <c r="A67" s="30">
        <v>46054</v>
      </c>
      <c r="B67" s="29" t="s">
        <v>8</v>
      </c>
      <c r="C67" s="29">
        <v>54831.8</v>
      </c>
      <c r="D67" s="29">
        <v>81.25</v>
      </c>
      <c r="E67" s="29">
        <v>4455325</v>
      </c>
      <c r="F67" s="29">
        <v>1172297</v>
      </c>
      <c r="G67" s="29">
        <v>156000</v>
      </c>
      <c r="H67" s="29">
        <v>3127027</v>
      </c>
      <c r="I67" s="29">
        <v>64800</v>
      </c>
      <c r="J67" s="29">
        <v>0.45329999999999998</v>
      </c>
      <c r="K67" s="29">
        <v>14</v>
      </c>
      <c r="L67" s="29">
        <v>0.97919999999999996</v>
      </c>
      <c r="M67" s="29" t="s">
        <v>114</v>
      </c>
    </row>
    <row r="68" spans="1:13" x14ac:dyDescent="0.35">
      <c r="A68" s="30">
        <v>46054</v>
      </c>
      <c r="B68" s="29" t="s">
        <v>13</v>
      </c>
      <c r="C68" s="29">
        <v>4049.8</v>
      </c>
      <c r="D68" s="29">
        <v>76.86</v>
      </c>
      <c r="E68" s="29">
        <v>311286</v>
      </c>
      <c r="F68" s="29">
        <v>111021</v>
      </c>
      <c r="G68" s="29">
        <v>43050</v>
      </c>
      <c r="H68" s="29">
        <v>157215</v>
      </c>
      <c r="I68" s="29">
        <v>8320</v>
      </c>
      <c r="J68" s="29">
        <v>8.0399999999999999E-2</v>
      </c>
      <c r="K68" s="29">
        <v>7</v>
      </c>
      <c r="L68" s="29">
        <v>0.98960000000000004</v>
      </c>
      <c r="M68" s="29" t="s">
        <v>114</v>
      </c>
    </row>
    <row r="69" spans="1:13" x14ac:dyDescent="0.35">
      <c r="A69" s="30">
        <v>46054</v>
      </c>
      <c r="B69" s="29" t="s">
        <v>17</v>
      </c>
      <c r="C69" s="29">
        <v>2267.9</v>
      </c>
      <c r="D69" s="29">
        <v>76.86</v>
      </c>
      <c r="E69" s="29">
        <v>174320</v>
      </c>
      <c r="F69" s="29">
        <v>66086</v>
      </c>
      <c r="G69" s="29">
        <v>30750</v>
      </c>
      <c r="H69" s="29">
        <v>77485</v>
      </c>
      <c r="I69" s="29">
        <v>8320</v>
      </c>
      <c r="J69" s="29">
        <v>8.0399999999999999E-2</v>
      </c>
      <c r="K69" s="29">
        <v>7</v>
      </c>
      <c r="L69" s="29">
        <v>0.98960000000000004</v>
      </c>
      <c r="M69" s="29" t="s">
        <v>114</v>
      </c>
    </row>
    <row r="70" spans="1:13" x14ac:dyDescent="0.35">
      <c r="A70" s="30">
        <v>46054</v>
      </c>
      <c r="B70" s="29" t="s">
        <v>20</v>
      </c>
      <c r="C70" s="29">
        <v>18640.400000000001</v>
      </c>
      <c r="D70" s="29">
        <v>52.11</v>
      </c>
      <c r="E70" s="29">
        <v>971335</v>
      </c>
      <c r="F70" s="29">
        <v>321961</v>
      </c>
      <c r="G70" s="29">
        <v>67600</v>
      </c>
      <c r="H70" s="29">
        <v>581774</v>
      </c>
      <c r="I70" s="29">
        <v>75600</v>
      </c>
      <c r="J70" s="29">
        <v>0.46229999999999999</v>
      </c>
      <c r="K70" s="29">
        <v>11</v>
      </c>
      <c r="L70" s="29">
        <v>0.98360000000000003</v>
      </c>
      <c r="M70" s="29" t="s">
        <v>114</v>
      </c>
    </row>
    <row r="71" spans="1:13" x14ac:dyDescent="0.35">
      <c r="A71" s="30">
        <v>46054</v>
      </c>
      <c r="B71" s="29" t="s">
        <v>25</v>
      </c>
      <c r="C71" s="29">
        <v>4380.3999999999996</v>
      </c>
      <c r="D71" s="29">
        <v>118</v>
      </c>
      <c r="E71" s="29">
        <v>516883</v>
      </c>
      <c r="F71" s="29">
        <v>867051</v>
      </c>
      <c r="G71" s="29">
        <v>100700</v>
      </c>
      <c r="H71" s="29">
        <v>-450868</v>
      </c>
      <c r="I71" s="29">
        <v>462000</v>
      </c>
      <c r="J71" s="29">
        <v>0.32590000000000002</v>
      </c>
      <c r="K71" s="29">
        <v>28</v>
      </c>
      <c r="L71" s="29">
        <v>0.95830000000000004</v>
      </c>
      <c r="M71" s="29" t="s">
        <v>114</v>
      </c>
    </row>
    <row r="72" spans="1:13" x14ac:dyDescent="0.35">
      <c r="A72" s="30">
        <v>46082</v>
      </c>
      <c r="B72" s="29" t="s">
        <v>8</v>
      </c>
      <c r="C72" s="29">
        <v>56948.800000000003</v>
      </c>
      <c r="D72" s="29">
        <v>75.72</v>
      </c>
      <c r="E72" s="29">
        <v>4312433</v>
      </c>
      <c r="F72" s="29">
        <v>1190241</v>
      </c>
      <c r="G72" s="29">
        <v>156000</v>
      </c>
      <c r="H72" s="29">
        <v>2966193</v>
      </c>
      <c r="I72" s="29">
        <v>64800</v>
      </c>
      <c r="J72" s="29">
        <v>0.42520000000000002</v>
      </c>
      <c r="K72" s="29">
        <v>14</v>
      </c>
      <c r="L72" s="29">
        <v>0.98119999999999996</v>
      </c>
      <c r="M72" s="29" t="s">
        <v>114</v>
      </c>
    </row>
    <row r="73" spans="1:13" x14ac:dyDescent="0.35">
      <c r="A73" s="30">
        <v>46082</v>
      </c>
      <c r="B73" s="29" t="s">
        <v>13</v>
      </c>
      <c r="C73" s="29">
        <v>6769</v>
      </c>
      <c r="D73" s="29">
        <v>71.16</v>
      </c>
      <c r="E73" s="29">
        <v>481693</v>
      </c>
      <c r="F73" s="29">
        <v>119861</v>
      </c>
      <c r="G73" s="29">
        <v>43050</v>
      </c>
      <c r="H73" s="29">
        <v>318782</v>
      </c>
      <c r="I73" s="29">
        <v>31200</v>
      </c>
      <c r="J73" s="29">
        <v>0.12130000000000001</v>
      </c>
      <c r="K73" s="29">
        <v>3</v>
      </c>
      <c r="L73" s="29">
        <v>0.996</v>
      </c>
      <c r="M73" s="29" t="s">
        <v>114</v>
      </c>
    </row>
    <row r="74" spans="1:13" x14ac:dyDescent="0.35">
      <c r="A74" s="30">
        <v>46082</v>
      </c>
      <c r="B74" s="29" t="s">
        <v>17</v>
      </c>
      <c r="C74" s="29">
        <v>3790.7</v>
      </c>
      <c r="D74" s="29">
        <v>71.16</v>
      </c>
      <c r="E74" s="29">
        <v>269748</v>
      </c>
      <c r="F74" s="29">
        <v>71036</v>
      </c>
      <c r="G74" s="29">
        <v>30750</v>
      </c>
      <c r="H74" s="29">
        <v>167962</v>
      </c>
      <c r="I74" s="29">
        <v>31200</v>
      </c>
      <c r="J74" s="29">
        <v>0.12130000000000001</v>
      </c>
      <c r="K74" s="29">
        <v>3</v>
      </c>
      <c r="L74" s="29">
        <v>0.996</v>
      </c>
      <c r="M74" s="29" t="s">
        <v>114</v>
      </c>
    </row>
    <row r="75" spans="1:13" x14ac:dyDescent="0.35">
      <c r="A75" s="30">
        <v>46082</v>
      </c>
      <c r="B75" s="29" t="s">
        <v>20</v>
      </c>
      <c r="C75" s="29">
        <v>17595</v>
      </c>
      <c r="D75" s="29">
        <v>47.35</v>
      </c>
      <c r="E75" s="29">
        <v>833079</v>
      </c>
      <c r="F75" s="29">
        <v>316036</v>
      </c>
      <c r="G75" s="29">
        <v>67600</v>
      </c>
      <c r="H75" s="29">
        <v>449443</v>
      </c>
      <c r="I75" s="29">
        <v>75600</v>
      </c>
      <c r="J75" s="29">
        <v>0.39419999999999999</v>
      </c>
      <c r="K75" s="29">
        <v>23</v>
      </c>
      <c r="L75" s="29">
        <v>0.96909999999999996</v>
      </c>
      <c r="M75" s="29" t="s">
        <v>114</v>
      </c>
    </row>
    <row r="76" spans="1:13" x14ac:dyDescent="0.35">
      <c r="A76" s="30">
        <v>46082</v>
      </c>
      <c r="B76" s="29" t="s">
        <v>25</v>
      </c>
      <c r="C76" s="29">
        <v>5062.2</v>
      </c>
      <c r="D76" s="29">
        <v>118</v>
      </c>
      <c r="E76" s="29">
        <v>597337</v>
      </c>
      <c r="F76" s="29">
        <v>930752</v>
      </c>
      <c r="G76" s="29">
        <v>100700</v>
      </c>
      <c r="H76" s="29">
        <v>-434115</v>
      </c>
      <c r="I76" s="29">
        <v>462000</v>
      </c>
      <c r="J76" s="29">
        <v>0.3402</v>
      </c>
      <c r="K76" s="29">
        <v>28</v>
      </c>
      <c r="L76" s="29">
        <v>0.96240000000000003</v>
      </c>
      <c r="M76" s="29" t="s">
        <v>114</v>
      </c>
    </row>
    <row r="77" spans="1:13" x14ac:dyDescent="0.35">
      <c r="A77" s="30">
        <v>46113</v>
      </c>
      <c r="B77" s="29" t="s">
        <v>8</v>
      </c>
      <c r="C77" s="29">
        <v>46622.8</v>
      </c>
      <c r="D77" s="29">
        <v>70.2</v>
      </c>
      <c r="E77" s="29">
        <v>3272697</v>
      </c>
      <c r="F77" s="29">
        <v>1227988</v>
      </c>
      <c r="G77" s="29">
        <v>156000</v>
      </c>
      <c r="H77" s="29">
        <v>1888710</v>
      </c>
      <c r="I77" s="29">
        <v>270000</v>
      </c>
      <c r="J77" s="29">
        <v>0.35970000000000002</v>
      </c>
      <c r="K77" s="29">
        <v>28</v>
      </c>
      <c r="L77" s="29">
        <v>0.96109999999999995</v>
      </c>
      <c r="M77" s="29" t="s">
        <v>114</v>
      </c>
    </row>
    <row r="78" spans="1:13" x14ac:dyDescent="0.35">
      <c r="A78" s="30">
        <v>46113</v>
      </c>
      <c r="B78" s="29" t="s">
        <v>13</v>
      </c>
      <c r="C78" s="29">
        <v>8733.1</v>
      </c>
      <c r="D78" s="29">
        <v>65.459999999999994</v>
      </c>
      <c r="E78" s="29">
        <v>571656</v>
      </c>
      <c r="F78" s="29">
        <v>126248</v>
      </c>
      <c r="G78" s="29">
        <v>43050</v>
      </c>
      <c r="H78" s="29">
        <v>402357</v>
      </c>
      <c r="I78" s="29">
        <v>8320</v>
      </c>
      <c r="J78" s="29">
        <v>0.16170000000000001</v>
      </c>
      <c r="K78" s="29">
        <v>3</v>
      </c>
      <c r="L78" s="29">
        <v>0.99580000000000002</v>
      </c>
      <c r="M78" s="29" t="s">
        <v>114</v>
      </c>
    </row>
    <row r="79" spans="1:13" x14ac:dyDescent="0.35">
      <c r="A79" s="30">
        <v>46113</v>
      </c>
      <c r="B79" s="29" t="s">
        <v>17</v>
      </c>
      <c r="C79" s="29">
        <v>4890.5</v>
      </c>
      <c r="D79" s="29">
        <v>65.459999999999994</v>
      </c>
      <c r="E79" s="29">
        <v>320127</v>
      </c>
      <c r="F79" s="29">
        <v>74613</v>
      </c>
      <c r="G79" s="29">
        <v>30750</v>
      </c>
      <c r="H79" s="29">
        <v>214764</v>
      </c>
      <c r="I79" s="29">
        <v>8320</v>
      </c>
      <c r="J79" s="29">
        <v>0.16170000000000001</v>
      </c>
      <c r="K79" s="29">
        <v>3</v>
      </c>
      <c r="L79" s="29">
        <v>0.99580000000000002</v>
      </c>
      <c r="M79" s="29" t="s">
        <v>114</v>
      </c>
    </row>
    <row r="80" spans="1:13" x14ac:dyDescent="0.35">
      <c r="A80" s="30">
        <v>46113</v>
      </c>
      <c r="B80" s="29" t="s">
        <v>20</v>
      </c>
      <c r="C80" s="29">
        <v>17963</v>
      </c>
      <c r="D80" s="29">
        <v>47.94</v>
      </c>
      <c r="E80" s="29">
        <v>861074</v>
      </c>
      <c r="F80" s="29">
        <v>317791</v>
      </c>
      <c r="G80" s="29">
        <v>67600</v>
      </c>
      <c r="H80" s="29">
        <v>475683</v>
      </c>
      <c r="I80" s="29">
        <v>75600</v>
      </c>
      <c r="J80" s="29">
        <v>0.4158</v>
      </c>
      <c r="K80" s="29">
        <v>11</v>
      </c>
      <c r="L80" s="29">
        <v>0.98470000000000002</v>
      </c>
      <c r="M80" s="29" t="s">
        <v>114</v>
      </c>
    </row>
    <row r="81" spans="1:13" x14ac:dyDescent="0.35">
      <c r="A81" s="30">
        <v>46113</v>
      </c>
      <c r="B81" s="29" t="s">
        <v>25</v>
      </c>
      <c r="C81" s="29">
        <v>5104.5</v>
      </c>
      <c r="D81" s="29">
        <v>118</v>
      </c>
      <c r="E81" s="29">
        <v>602332</v>
      </c>
      <c r="F81" s="29">
        <v>934707</v>
      </c>
      <c r="G81" s="29">
        <v>100700</v>
      </c>
      <c r="H81" s="29">
        <v>-433075</v>
      </c>
      <c r="I81" s="29">
        <v>462000</v>
      </c>
      <c r="J81" s="29">
        <v>0.35449999999999998</v>
      </c>
      <c r="K81" s="29">
        <v>28</v>
      </c>
      <c r="L81" s="29">
        <v>0.96109999999999995</v>
      </c>
      <c r="M81" s="29" t="s">
        <v>114</v>
      </c>
    </row>
    <row r="82" spans="1:13" x14ac:dyDescent="0.35">
      <c r="A82" s="30">
        <v>46143</v>
      </c>
      <c r="B82" s="29" t="s">
        <v>8</v>
      </c>
      <c r="C82" s="29">
        <v>42711.6</v>
      </c>
      <c r="D82" s="29">
        <v>65.59</v>
      </c>
      <c r="E82" s="29">
        <v>2801332</v>
      </c>
      <c r="F82" s="29">
        <v>1065743</v>
      </c>
      <c r="G82" s="29">
        <v>156000</v>
      </c>
      <c r="H82" s="29">
        <v>1579589</v>
      </c>
      <c r="I82" s="29">
        <v>64800</v>
      </c>
      <c r="J82" s="29">
        <v>0.31890000000000002</v>
      </c>
      <c r="K82" s="29">
        <v>14</v>
      </c>
      <c r="L82" s="29">
        <v>0.98119999999999996</v>
      </c>
      <c r="M82" s="29" t="s">
        <v>114</v>
      </c>
    </row>
    <row r="83" spans="1:13" x14ac:dyDescent="0.35">
      <c r="A83" s="30">
        <v>46143</v>
      </c>
      <c r="B83" s="29" t="s">
        <v>13</v>
      </c>
      <c r="C83" s="29">
        <v>11281.7</v>
      </c>
      <c r="D83" s="29">
        <v>55.76</v>
      </c>
      <c r="E83" s="29">
        <v>629033</v>
      </c>
      <c r="F83" s="29">
        <v>134534</v>
      </c>
      <c r="G83" s="29">
        <v>43050</v>
      </c>
      <c r="H83" s="29">
        <v>451448</v>
      </c>
      <c r="I83" s="29">
        <v>8320</v>
      </c>
      <c r="J83" s="29">
        <v>0.20219999999999999</v>
      </c>
      <c r="K83" s="29">
        <v>3</v>
      </c>
      <c r="L83" s="29">
        <v>0.996</v>
      </c>
      <c r="M83" s="29" t="s">
        <v>114</v>
      </c>
    </row>
    <row r="84" spans="1:13" x14ac:dyDescent="0.35">
      <c r="A84" s="30">
        <v>46143</v>
      </c>
      <c r="B84" s="29" t="s">
        <v>17</v>
      </c>
      <c r="C84" s="29">
        <v>6317.8</v>
      </c>
      <c r="D84" s="29">
        <v>55.76</v>
      </c>
      <c r="E84" s="29">
        <v>352258</v>
      </c>
      <c r="F84" s="29">
        <v>79253</v>
      </c>
      <c r="G84" s="29">
        <v>30750</v>
      </c>
      <c r="H84" s="29">
        <v>242255</v>
      </c>
      <c r="I84" s="29">
        <v>8320</v>
      </c>
      <c r="J84" s="29">
        <v>0.20219999999999999</v>
      </c>
      <c r="K84" s="29">
        <v>3</v>
      </c>
      <c r="L84" s="29">
        <v>0.996</v>
      </c>
      <c r="M84" s="29" t="s">
        <v>114</v>
      </c>
    </row>
    <row r="85" spans="1:13" x14ac:dyDescent="0.35">
      <c r="A85" s="30">
        <v>46143</v>
      </c>
      <c r="B85" s="29" t="s">
        <v>20</v>
      </c>
      <c r="C85" s="29">
        <v>18331</v>
      </c>
      <c r="D85" s="29">
        <v>48.52</v>
      </c>
      <c r="E85" s="29">
        <v>889503</v>
      </c>
      <c r="F85" s="29">
        <v>319547</v>
      </c>
      <c r="G85" s="29">
        <v>67600</v>
      </c>
      <c r="H85" s="29">
        <v>502356</v>
      </c>
      <c r="I85" s="29">
        <v>75600</v>
      </c>
      <c r="J85" s="29">
        <v>0.41060000000000002</v>
      </c>
      <c r="K85" s="29">
        <v>11</v>
      </c>
      <c r="L85" s="29">
        <v>0.98519999999999996</v>
      </c>
      <c r="M85" s="29" t="s">
        <v>114</v>
      </c>
    </row>
    <row r="86" spans="1:13" x14ac:dyDescent="0.35">
      <c r="A86" s="30">
        <v>46143</v>
      </c>
      <c r="B86" s="29" t="s">
        <v>25</v>
      </c>
      <c r="C86" s="29">
        <v>5487.1</v>
      </c>
      <c r="D86" s="29">
        <v>118</v>
      </c>
      <c r="E86" s="29">
        <v>647484</v>
      </c>
      <c r="F86" s="29">
        <v>970456</v>
      </c>
      <c r="G86" s="29">
        <v>100700</v>
      </c>
      <c r="H86" s="29">
        <v>-423673</v>
      </c>
      <c r="I86" s="29">
        <v>462000</v>
      </c>
      <c r="J86" s="29">
        <v>0.36880000000000002</v>
      </c>
      <c r="K86" s="29">
        <v>51</v>
      </c>
      <c r="L86" s="29">
        <v>0.93149999999999999</v>
      </c>
      <c r="M86" s="29" t="s">
        <v>114</v>
      </c>
    </row>
    <row r="87" spans="1:13" x14ac:dyDescent="0.35">
      <c r="A87" s="30">
        <v>46174</v>
      </c>
      <c r="B87" s="29" t="s">
        <v>8</v>
      </c>
      <c r="C87" s="29">
        <v>37552.1</v>
      </c>
      <c r="D87" s="29">
        <v>61.9</v>
      </c>
      <c r="E87" s="29">
        <v>2324508</v>
      </c>
      <c r="F87" s="29">
        <v>1020747</v>
      </c>
      <c r="G87" s="29">
        <v>156000</v>
      </c>
      <c r="H87" s="29">
        <v>1147760</v>
      </c>
      <c r="I87" s="29">
        <v>64800</v>
      </c>
      <c r="J87" s="29">
        <v>0.2898</v>
      </c>
      <c r="K87" s="29">
        <v>14</v>
      </c>
      <c r="L87" s="29">
        <v>0.98060000000000003</v>
      </c>
      <c r="M87" s="29" t="s">
        <v>114</v>
      </c>
    </row>
    <row r="88" spans="1:13" x14ac:dyDescent="0.35">
      <c r="A88" s="30">
        <v>46174</v>
      </c>
      <c r="B88" s="29" t="s">
        <v>13</v>
      </c>
      <c r="C88" s="29">
        <v>12280.9</v>
      </c>
      <c r="D88" s="29">
        <v>51.96</v>
      </c>
      <c r="E88" s="29">
        <v>638055</v>
      </c>
      <c r="F88" s="29">
        <v>137785</v>
      </c>
      <c r="G88" s="29">
        <v>43050</v>
      </c>
      <c r="H88" s="29">
        <v>457220</v>
      </c>
      <c r="I88" s="29">
        <v>8320</v>
      </c>
      <c r="J88" s="29">
        <v>0.22739999999999999</v>
      </c>
      <c r="K88" s="29">
        <v>3</v>
      </c>
      <c r="L88" s="29">
        <v>0.99580000000000002</v>
      </c>
      <c r="M88" s="29" t="s">
        <v>114</v>
      </c>
    </row>
    <row r="89" spans="1:13" x14ac:dyDescent="0.35">
      <c r="A89" s="30">
        <v>46174</v>
      </c>
      <c r="B89" s="29" t="s">
        <v>17</v>
      </c>
      <c r="C89" s="29">
        <v>6877.3</v>
      </c>
      <c r="D89" s="29">
        <v>51.96</v>
      </c>
      <c r="E89" s="29">
        <v>357311</v>
      </c>
      <c r="F89" s="29">
        <v>81074</v>
      </c>
      <c r="G89" s="29">
        <v>30750</v>
      </c>
      <c r="H89" s="29">
        <v>245487</v>
      </c>
      <c r="I89" s="29">
        <v>8320</v>
      </c>
      <c r="J89" s="29">
        <v>0.22739999999999999</v>
      </c>
      <c r="K89" s="29">
        <v>3</v>
      </c>
      <c r="L89" s="29">
        <v>0.99580000000000002</v>
      </c>
      <c r="M89" s="29" t="s">
        <v>114</v>
      </c>
    </row>
    <row r="90" spans="1:13" x14ac:dyDescent="0.35">
      <c r="A90" s="30">
        <v>46174</v>
      </c>
      <c r="B90" s="29" t="s">
        <v>20</v>
      </c>
      <c r="C90" s="29">
        <v>18699</v>
      </c>
      <c r="D90" s="29">
        <v>49.11</v>
      </c>
      <c r="E90" s="29">
        <v>918364</v>
      </c>
      <c r="F90" s="29">
        <v>321302</v>
      </c>
      <c r="G90" s="29">
        <v>67600</v>
      </c>
      <c r="H90" s="29">
        <v>529462</v>
      </c>
      <c r="I90" s="29">
        <v>75600</v>
      </c>
      <c r="J90" s="29">
        <v>0.43280000000000002</v>
      </c>
      <c r="K90" s="29">
        <v>11</v>
      </c>
      <c r="L90" s="29">
        <v>0.98470000000000002</v>
      </c>
      <c r="M90" s="29" t="s">
        <v>114</v>
      </c>
    </row>
    <row r="91" spans="1:13" x14ac:dyDescent="0.35">
      <c r="A91" s="30">
        <v>46174</v>
      </c>
      <c r="B91" s="29" t="s">
        <v>25</v>
      </c>
      <c r="C91" s="29">
        <v>5515.8</v>
      </c>
      <c r="D91" s="29">
        <v>118</v>
      </c>
      <c r="E91" s="29">
        <v>650862</v>
      </c>
      <c r="F91" s="29">
        <v>973131</v>
      </c>
      <c r="G91" s="29">
        <v>100700</v>
      </c>
      <c r="H91" s="29">
        <v>-422970</v>
      </c>
      <c r="I91" s="29">
        <v>462000</v>
      </c>
      <c r="J91" s="29">
        <v>0.38300000000000001</v>
      </c>
      <c r="K91" s="29">
        <v>28</v>
      </c>
      <c r="L91" s="29">
        <v>0.96109999999999995</v>
      </c>
      <c r="M91" s="29" t="s">
        <v>114</v>
      </c>
    </row>
    <row r="92" spans="1:13" x14ac:dyDescent="0.35">
      <c r="A92" s="30">
        <v>46204</v>
      </c>
      <c r="B92" s="29" t="s">
        <v>8</v>
      </c>
      <c r="C92" s="29">
        <v>37534.400000000001</v>
      </c>
      <c r="D92" s="29">
        <v>60.06</v>
      </c>
      <c r="E92" s="29">
        <v>2254227</v>
      </c>
      <c r="F92" s="29">
        <v>1020471</v>
      </c>
      <c r="G92" s="29">
        <v>156000</v>
      </c>
      <c r="H92" s="29">
        <v>1077756</v>
      </c>
      <c r="I92" s="29">
        <v>64800</v>
      </c>
      <c r="J92" s="29">
        <v>0.28029999999999999</v>
      </c>
      <c r="K92" s="29">
        <v>14</v>
      </c>
      <c r="L92" s="29">
        <v>0.98119999999999996</v>
      </c>
      <c r="M92" s="29" t="s">
        <v>114</v>
      </c>
    </row>
    <row r="93" spans="1:13" x14ac:dyDescent="0.35">
      <c r="A93" s="30">
        <v>46204</v>
      </c>
      <c r="B93" s="29" t="s">
        <v>13</v>
      </c>
      <c r="C93" s="29">
        <v>12974</v>
      </c>
      <c r="D93" s="29">
        <v>50.05</v>
      </c>
      <c r="E93" s="29">
        <v>649405</v>
      </c>
      <c r="F93" s="29">
        <v>140037</v>
      </c>
      <c r="G93" s="29">
        <v>43050</v>
      </c>
      <c r="H93" s="29">
        <v>466318</v>
      </c>
      <c r="I93" s="29">
        <v>8320</v>
      </c>
      <c r="J93" s="29">
        <v>0.23250000000000001</v>
      </c>
      <c r="K93" s="29">
        <v>3</v>
      </c>
      <c r="L93" s="29">
        <v>0.996</v>
      </c>
      <c r="M93" s="29" t="s">
        <v>114</v>
      </c>
    </row>
    <row r="94" spans="1:13" x14ac:dyDescent="0.35">
      <c r="A94" s="30">
        <v>46204</v>
      </c>
      <c r="B94" s="29" t="s">
        <v>17</v>
      </c>
      <c r="C94" s="29">
        <v>7265.4</v>
      </c>
      <c r="D94" s="29">
        <v>50.05</v>
      </c>
      <c r="E94" s="29">
        <v>363667</v>
      </c>
      <c r="F94" s="29">
        <v>82335</v>
      </c>
      <c r="G94" s="29">
        <v>30750</v>
      </c>
      <c r="H94" s="29">
        <v>250582</v>
      </c>
      <c r="I94" s="29">
        <v>8320</v>
      </c>
      <c r="J94" s="29">
        <v>0.23250000000000001</v>
      </c>
      <c r="K94" s="29">
        <v>3</v>
      </c>
      <c r="L94" s="29">
        <v>0.996</v>
      </c>
      <c r="M94" s="29" t="s">
        <v>114</v>
      </c>
    </row>
    <row r="95" spans="1:13" x14ac:dyDescent="0.35">
      <c r="A95" s="30">
        <v>46204</v>
      </c>
      <c r="B95" s="29" t="s">
        <v>20</v>
      </c>
      <c r="C95" s="29">
        <v>19067</v>
      </c>
      <c r="D95" s="29">
        <v>49.7</v>
      </c>
      <c r="E95" s="29">
        <v>947659</v>
      </c>
      <c r="F95" s="29">
        <v>323058</v>
      </c>
      <c r="G95" s="29">
        <v>67600</v>
      </c>
      <c r="H95" s="29">
        <v>557001</v>
      </c>
      <c r="I95" s="29">
        <v>75600</v>
      </c>
      <c r="J95" s="29">
        <v>0.42709999999999998</v>
      </c>
      <c r="K95" s="29">
        <v>11</v>
      </c>
      <c r="L95" s="29">
        <v>0.98519999999999996</v>
      </c>
      <c r="M95" s="29" t="s">
        <v>114</v>
      </c>
    </row>
    <row r="96" spans="1:13" x14ac:dyDescent="0.35">
      <c r="A96" s="30">
        <v>46204</v>
      </c>
      <c r="B96" s="29" t="s">
        <v>25</v>
      </c>
      <c r="C96" s="29">
        <v>5912.1</v>
      </c>
      <c r="D96" s="29">
        <v>118</v>
      </c>
      <c r="E96" s="29">
        <v>697630</v>
      </c>
      <c r="F96" s="29">
        <v>1010161</v>
      </c>
      <c r="G96" s="29">
        <v>100700</v>
      </c>
      <c r="H96" s="29">
        <v>-413231</v>
      </c>
      <c r="I96" s="29">
        <v>462000</v>
      </c>
      <c r="J96" s="29">
        <v>0.39729999999999999</v>
      </c>
      <c r="K96" s="29">
        <v>28</v>
      </c>
      <c r="L96" s="29">
        <v>0.96240000000000003</v>
      </c>
      <c r="M96" s="29" t="s">
        <v>114</v>
      </c>
    </row>
    <row r="97" spans="1:13" x14ac:dyDescent="0.35">
      <c r="A97" s="30">
        <v>46235</v>
      </c>
      <c r="B97" s="29" t="s">
        <v>8</v>
      </c>
      <c r="C97" s="29">
        <v>40123</v>
      </c>
      <c r="D97" s="29">
        <v>62.82</v>
      </c>
      <c r="E97" s="29">
        <v>2520623</v>
      </c>
      <c r="F97" s="29">
        <v>1043107</v>
      </c>
      <c r="G97" s="29">
        <v>156000</v>
      </c>
      <c r="H97" s="29">
        <v>1321516</v>
      </c>
      <c r="I97" s="29">
        <v>64800</v>
      </c>
      <c r="J97" s="29">
        <v>0.29959999999999998</v>
      </c>
      <c r="K97" s="29">
        <v>14</v>
      </c>
      <c r="L97" s="29">
        <v>0.98119999999999996</v>
      </c>
      <c r="M97" s="29" t="s">
        <v>114</v>
      </c>
    </row>
    <row r="98" spans="1:13" x14ac:dyDescent="0.35">
      <c r="A98" s="30">
        <v>46235</v>
      </c>
      <c r="B98" s="29" t="s">
        <v>13</v>
      </c>
      <c r="C98" s="29">
        <v>11563.8</v>
      </c>
      <c r="D98" s="29">
        <v>52.91</v>
      </c>
      <c r="E98" s="29">
        <v>611788</v>
      </c>
      <c r="F98" s="29">
        <v>135452</v>
      </c>
      <c r="G98" s="29">
        <v>43050</v>
      </c>
      <c r="H98" s="29">
        <v>433286</v>
      </c>
      <c r="I98" s="29">
        <v>8320</v>
      </c>
      <c r="J98" s="29">
        <v>0.2072</v>
      </c>
      <c r="K98" s="29">
        <v>3</v>
      </c>
      <c r="L98" s="29">
        <v>0.996</v>
      </c>
      <c r="M98" s="29" t="s">
        <v>114</v>
      </c>
    </row>
    <row r="99" spans="1:13" x14ac:dyDescent="0.35">
      <c r="A99" s="30">
        <v>46235</v>
      </c>
      <c r="B99" s="29" t="s">
        <v>17</v>
      </c>
      <c r="C99" s="29">
        <v>6475.7</v>
      </c>
      <c r="D99" s="29">
        <v>52.91</v>
      </c>
      <c r="E99" s="29">
        <v>342601</v>
      </c>
      <c r="F99" s="29">
        <v>79767</v>
      </c>
      <c r="G99" s="29">
        <v>30750</v>
      </c>
      <c r="H99" s="29">
        <v>232084</v>
      </c>
      <c r="I99" s="29">
        <v>8320</v>
      </c>
      <c r="J99" s="29">
        <v>0.2072</v>
      </c>
      <c r="K99" s="29">
        <v>3</v>
      </c>
      <c r="L99" s="29">
        <v>0.996</v>
      </c>
      <c r="M99" s="29" t="s">
        <v>114</v>
      </c>
    </row>
    <row r="100" spans="1:13" x14ac:dyDescent="0.35">
      <c r="A100" s="30">
        <v>46235</v>
      </c>
      <c r="B100" s="29" t="s">
        <v>20</v>
      </c>
      <c r="C100" s="29">
        <v>19435</v>
      </c>
      <c r="D100" s="29">
        <v>50.29</v>
      </c>
      <c r="E100" s="29">
        <v>977386</v>
      </c>
      <c r="F100" s="29">
        <v>324813</v>
      </c>
      <c r="G100" s="29">
        <v>67600</v>
      </c>
      <c r="H100" s="29">
        <v>584973</v>
      </c>
      <c r="I100" s="29">
        <v>75600</v>
      </c>
      <c r="J100" s="29">
        <v>0.43540000000000001</v>
      </c>
      <c r="K100" s="29">
        <v>11</v>
      </c>
      <c r="L100" s="29">
        <v>0.98519999999999996</v>
      </c>
      <c r="M100" s="29" t="s">
        <v>114</v>
      </c>
    </row>
    <row r="101" spans="1:13" x14ac:dyDescent="0.35">
      <c r="A101" s="30">
        <v>46235</v>
      </c>
      <c r="B101" s="29" t="s">
        <v>25</v>
      </c>
      <c r="C101" s="29">
        <v>6562.1</v>
      </c>
      <c r="D101" s="29">
        <v>118</v>
      </c>
      <c r="E101" s="29">
        <v>774325</v>
      </c>
      <c r="F101" s="29">
        <v>1030013</v>
      </c>
      <c r="G101" s="29">
        <v>100700</v>
      </c>
      <c r="H101" s="29">
        <v>-356388</v>
      </c>
      <c r="I101" s="29">
        <v>462000</v>
      </c>
      <c r="J101" s="29">
        <v>0.441</v>
      </c>
      <c r="K101" s="29">
        <v>28</v>
      </c>
      <c r="L101" s="29">
        <v>0.96240000000000003</v>
      </c>
      <c r="M101" s="29" t="s">
        <v>114</v>
      </c>
    </row>
    <row r="102" spans="1:13" x14ac:dyDescent="0.35">
      <c r="A102" s="30">
        <v>46266</v>
      </c>
      <c r="B102" s="29" t="s">
        <v>8</v>
      </c>
      <c r="C102" s="29">
        <v>45062.6</v>
      </c>
      <c r="D102" s="29">
        <v>68.349999999999994</v>
      </c>
      <c r="E102" s="29">
        <v>3080117</v>
      </c>
      <c r="F102" s="29">
        <v>1086447</v>
      </c>
      <c r="G102" s="29">
        <v>156000</v>
      </c>
      <c r="H102" s="29">
        <v>1837670</v>
      </c>
      <c r="I102" s="29">
        <v>64800</v>
      </c>
      <c r="J102" s="29">
        <v>0.34770000000000001</v>
      </c>
      <c r="K102" s="29">
        <v>14</v>
      </c>
      <c r="L102" s="29">
        <v>0.98060000000000003</v>
      </c>
      <c r="M102" s="29" t="s">
        <v>114</v>
      </c>
    </row>
    <row r="103" spans="1:13" x14ac:dyDescent="0.35">
      <c r="A103" s="30">
        <v>46266</v>
      </c>
      <c r="B103" s="29" t="s">
        <v>13</v>
      </c>
      <c r="C103" s="29">
        <v>8460.2000000000007</v>
      </c>
      <c r="D103" s="29">
        <v>63.56</v>
      </c>
      <c r="E103" s="29">
        <v>537710</v>
      </c>
      <c r="F103" s="29">
        <v>125361</v>
      </c>
      <c r="G103" s="29">
        <v>43050</v>
      </c>
      <c r="H103" s="29">
        <v>369299</v>
      </c>
      <c r="I103" s="29">
        <v>31200</v>
      </c>
      <c r="J103" s="29">
        <v>0.15670000000000001</v>
      </c>
      <c r="K103" s="29">
        <v>3</v>
      </c>
      <c r="L103" s="29">
        <v>0.99580000000000002</v>
      </c>
      <c r="M103" s="29" t="s">
        <v>114</v>
      </c>
    </row>
    <row r="104" spans="1:13" x14ac:dyDescent="0.35">
      <c r="A104" s="30">
        <v>46266</v>
      </c>
      <c r="B104" s="29" t="s">
        <v>17</v>
      </c>
      <c r="C104" s="29">
        <v>4737.7</v>
      </c>
      <c r="D104" s="29">
        <v>63.56</v>
      </c>
      <c r="E104" s="29">
        <v>301118</v>
      </c>
      <c r="F104" s="29">
        <v>74116</v>
      </c>
      <c r="G104" s="29">
        <v>30750</v>
      </c>
      <c r="H104" s="29">
        <v>196252</v>
      </c>
      <c r="I104" s="29">
        <v>31200</v>
      </c>
      <c r="J104" s="29">
        <v>0.15670000000000001</v>
      </c>
      <c r="K104" s="29">
        <v>3</v>
      </c>
      <c r="L104" s="29">
        <v>0.99580000000000002</v>
      </c>
      <c r="M104" s="29" t="s">
        <v>114</v>
      </c>
    </row>
    <row r="105" spans="1:13" x14ac:dyDescent="0.35">
      <c r="A105" s="30">
        <v>46266</v>
      </c>
      <c r="B105" s="29" t="s">
        <v>20</v>
      </c>
      <c r="C105" s="29">
        <v>19803</v>
      </c>
      <c r="D105" s="29">
        <v>50.88</v>
      </c>
      <c r="E105" s="29">
        <v>1007547</v>
      </c>
      <c r="F105" s="29">
        <v>326569</v>
      </c>
      <c r="G105" s="29">
        <v>67600</v>
      </c>
      <c r="H105" s="29">
        <v>613378</v>
      </c>
      <c r="I105" s="29">
        <v>75600</v>
      </c>
      <c r="J105" s="29">
        <v>0.45839999999999997</v>
      </c>
      <c r="K105" s="29">
        <v>23</v>
      </c>
      <c r="L105" s="29">
        <v>0.96809999999999996</v>
      </c>
      <c r="M105" s="29" t="s">
        <v>114</v>
      </c>
    </row>
    <row r="106" spans="1:13" x14ac:dyDescent="0.35">
      <c r="A106" s="30">
        <v>46266</v>
      </c>
      <c r="B106" s="29" t="s">
        <v>25</v>
      </c>
      <c r="C106" s="29">
        <v>6570.7</v>
      </c>
      <c r="D106" s="29">
        <v>118</v>
      </c>
      <c r="E106" s="29">
        <v>775345</v>
      </c>
      <c r="F106" s="29">
        <v>1030767</v>
      </c>
      <c r="G106" s="29">
        <v>100700</v>
      </c>
      <c r="H106" s="29">
        <v>-356122</v>
      </c>
      <c r="I106" s="29">
        <v>462000</v>
      </c>
      <c r="J106" s="29">
        <v>0.45629999999999998</v>
      </c>
      <c r="K106" s="29">
        <v>28</v>
      </c>
      <c r="L106" s="29">
        <v>0.96109999999999995</v>
      </c>
      <c r="M106" s="29" t="s">
        <v>114</v>
      </c>
    </row>
    <row r="107" spans="1:13" x14ac:dyDescent="0.35">
      <c r="A107" s="30">
        <v>46296</v>
      </c>
      <c r="B107" s="29" t="s">
        <v>8</v>
      </c>
      <c r="C107" s="29">
        <v>53317.7</v>
      </c>
      <c r="D107" s="29">
        <v>75.72</v>
      </c>
      <c r="E107" s="29">
        <v>4037469</v>
      </c>
      <c r="F107" s="29">
        <v>1286387</v>
      </c>
      <c r="G107" s="29">
        <v>156000</v>
      </c>
      <c r="H107" s="29">
        <v>2595082</v>
      </c>
      <c r="I107" s="29">
        <v>270000</v>
      </c>
      <c r="J107" s="29">
        <v>0.39810000000000001</v>
      </c>
      <c r="K107" s="29">
        <v>28</v>
      </c>
      <c r="L107" s="29">
        <v>0.96240000000000003</v>
      </c>
      <c r="M107" s="29" t="s">
        <v>114</v>
      </c>
    </row>
    <row r="108" spans="1:13" x14ac:dyDescent="0.35">
      <c r="A108" s="30">
        <v>46296</v>
      </c>
      <c r="B108" s="29" t="s">
        <v>13</v>
      </c>
      <c r="C108" s="29">
        <v>5922.9</v>
      </c>
      <c r="D108" s="29">
        <v>71.16</v>
      </c>
      <c r="E108" s="29">
        <v>421481</v>
      </c>
      <c r="F108" s="29">
        <v>117109</v>
      </c>
      <c r="G108" s="29">
        <v>43050</v>
      </c>
      <c r="H108" s="29">
        <v>261322</v>
      </c>
      <c r="I108" s="29">
        <v>8320</v>
      </c>
      <c r="J108" s="29">
        <v>0.1061</v>
      </c>
      <c r="K108" s="29">
        <v>3</v>
      </c>
      <c r="L108" s="29">
        <v>0.996</v>
      </c>
      <c r="M108" s="29" t="s">
        <v>114</v>
      </c>
    </row>
    <row r="109" spans="1:13" x14ac:dyDescent="0.35">
      <c r="A109" s="30">
        <v>46296</v>
      </c>
      <c r="B109" s="29" t="s">
        <v>17</v>
      </c>
      <c r="C109" s="29">
        <v>3316.8</v>
      </c>
      <c r="D109" s="29">
        <v>71.16</v>
      </c>
      <c r="E109" s="29">
        <v>236029</v>
      </c>
      <c r="F109" s="29">
        <v>69495</v>
      </c>
      <c r="G109" s="29">
        <v>30750</v>
      </c>
      <c r="H109" s="29">
        <v>135784</v>
      </c>
      <c r="I109" s="29">
        <v>8320</v>
      </c>
      <c r="J109" s="29">
        <v>0.1061</v>
      </c>
      <c r="K109" s="29">
        <v>3</v>
      </c>
      <c r="L109" s="29">
        <v>0.996</v>
      </c>
      <c r="M109" s="29" t="s">
        <v>114</v>
      </c>
    </row>
    <row r="110" spans="1:13" x14ac:dyDescent="0.35">
      <c r="A110" s="30">
        <v>46296</v>
      </c>
      <c r="B110" s="29" t="s">
        <v>20</v>
      </c>
      <c r="C110" s="29">
        <v>20171</v>
      </c>
      <c r="D110" s="29">
        <v>51.47</v>
      </c>
      <c r="E110" s="29">
        <v>1038141</v>
      </c>
      <c r="F110" s="29">
        <v>328324</v>
      </c>
      <c r="G110" s="29">
        <v>67600</v>
      </c>
      <c r="H110" s="29">
        <v>642216</v>
      </c>
      <c r="I110" s="29">
        <v>75600</v>
      </c>
      <c r="J110" s="29">
        <v>0.45190000000000002</v>
      </c>
      <c r="K110" s="29">
        <v>11</v>
      </c>
      <c r="L110" s="29">
        <v>0.98519999999999996</v>
      </c>
      <c r="M110" s="29" t="s">
        <v>114</v>
      </c>
    </row>
    <row r="111" spans="1:13" x14ac:dyDescent="0.35">
      <c r="A111" s="30">
        <v>46296</v>
      </c>
      <c r="B111" s="29" t="s">
        <v>25</v>
      </c>
      <c r="C111" s="29">
        <v>7017.4</v>
      </c>
      <c r="D111" s="29">
        <v>118</v>
      </c>
      <c r="E111" s="29">
        <v>828054</v>
      </c>
      <c r="F111" s="29">
        <v>1069718</v>
      </c>
      <c r="G111" s="29">
        <v>100700</v>
      </c>
      <c r="H111" s="29">
        <v>-342364</v>
      </c>
      <c r="I111" s="29">
        <v>462000</v>
      </c>
      <c r="J111" s="29">
        <v>0.47160000000000002</v>
      </c>
      <c r="K111" s="29">
        <v>28</v>
      </c>
      <c r="L111" s="29">
        <v>0.96240000000000003</v>
      </c>
      <c r="M111" s="29" t="s">
        <v>114</v>
      </c>
    </row>
    <row r="112" spans="1:13" x14ac:dyDescent="0.35">
      <c r="A112" s="30">
        <v>46327</v>
      </c>
      <c r="B112" s="29" t="s">
        <v>8</v>
      </c>
      <c r="C112" s="29">
        <v>58831.7</v>
      </c>
      <c r="D112" s="29">
        <v>81.25</v>
      </c>
      <c r="E112" s="29">
        <v>4780333</v>
      </c>
      <c r="F112" s="29">
        <v>1206895</v>
      </c>
      <c r="G112" s="29">
        <v>156000</v>
      </c>
      <c r="H112" s="29">
        <v>3417438</v>
      </c>
      <c r="I112" s="29">
        <v>64800</v>
      </c>
      <c r="J112" s="29">
        <v>0.45390000000000003</v>
      </c>
      <c r="K112" s="29">
        <v>14</v>
      </c>
      <c r="L112" s="29">
        <v>0.98060000000000003</v>
      </c>
      <c r="M112" s="29" t="s">
        <v>114</v>
      </c>
    </row>
    <row r="113" spans="1:13" x14ac:dyDescent="0.35">
      <c r="A113" s="30">
        <v>46327</v>
      </c>
      <c r="B113" s="29" t="s">
        <v>13</v>
      </c>
      <c r="C113" s="29">
        <v>3528</v>
      </c>
      <c r="D113" s="29">
        <v>76.86</v>
      </c>
      <c r="E113" s="29">
        <v>271176</v>
      </c>
      <c r="F113" s="29">
        <v>109323</v>
      </c>
      <c r="G113" s="29">
        <v>43050</v>
      </c>
      <c r="H113" s="29">
        <v>118803</v>
      </c>
      <c r="I113" s="29">
        <v>8320</v>
      </c>
      <c r="J113" s="29">
        <v>6.5299999999999997E-2</v>
      </c>
      <c r="K113" s="29">
        <v>7</v>
      </c>
      <c r="L113" s="29">
        <v>0.99029999999999996</v>
      </c>
      <c r="M113" s="29" t="s">
        <v>114</v>
      </c>
    </row>
    <row r="114" spans="1:13" x14ac:dyDescent="0.35">
      <c r="A114" s="30">
        <v>46327</v>
      </c>
      <c r="B114" s="29" t="s">
        <v>17</v>
      </c>
      <c r="C114" s="29">
        <v>1975.7</v>
      </c>
      <c r="D114" s="29">
        <v>76.86</v>
      </c>
      <c r="E114" s="29">
        <v>151858</v>
      </c>
      <c r="F114" s="29">
        <v>65135</v>
      </c>
      <c r="G114" s="29">
        <v>30750</v>
      </c>
      <c r="H114" s="29">
        <v>55974</v>
      </c>
      <c r="I114" s="29">
        <v>8320</v>
      </c>
      <c r="J114" s="29">
        <v>6.5299999999999997E-2</v>
      </c>
      <c r="K114" s="29">
        <v>7</v>
      </c>
      <c r="L114" s="29">
        <v>0.99029999999999996</v>
      </c>
      <c r="M114" s="29" t="s">
        <v>114</v>
      </c>
    </row>
    <row r="115" spans="1:13" x14ac:dyDescent="0.35">
      <c r="A115" s="30">
        <v>46327</v>
      </c>
      <c r="B115" s="29" t="s">
        <v>20</v>
      </c>
      <c r="C115" s="29">
        <v>22149</v>
      </c>
      <c r="D115" s="29">
        <v>57.41</v>
      </c>
      <c r="E115" s="29">
        <v>1271474</v>
      </c>
      <c r="F115" s="29">
        <v>337760</v>
      </c>
      <c r="G115" s="29">
        <v>67600</v>
      </c>
      <c r="H115" s="29">
        <v>866114</v>
      </c>
      <c r="I115" s="29">
        <v>75600</v>
      </c>
      <c r="J115" s="29">
        <v>0.51270000000000004</v>
      </c>
      <c r="K115" s="29">
        <v>11</v>
      </c>
      <c r="L115" s="29">
        <v>0.98470000000000002</v>
      </c>
      <c r="M115" s="29" t="s">
        <v>114</v>
      </c>
    </row>
    <row r="116" spans="1:13" x14ac:dyDescent="0.35">
      <c r="A116" s="30">
        <v>46327</v>
      </c>
      <c r="B116" s="29" t="s">
        <v>25</v>
      </c>
      <c r="C116" s="29">
        <v>6998.4</v>
      </c>
      <c r="D116" s="29">
        <v>118</v>
      </c>
      <c r="E116" s="29">
        <v>825811</v>
      </c>
      <c r="F116" s="29">
        <v>1068060</v>
      </c>
      <c r="G116" s="29">
        <v>100700</v>
      </c>
      <c r="H116" s="29">
        <v>-342949</v>
      </c>
      <c r="I116" s="29">
        <v>462000</v>
      </c>
      <c r="J116" s="29">
        <v>0.48599999999999999</v>
      </c>
      <c r="K116" s="29">
        <v>51</v>
      </c>
      <c r="L116" s="29">
        <v>0.92920000000000003</v>
      </c>
      <c r="M116" s="29" t="s">
        <v>114</v>
      </c>
    </row>
    <row r="117" spans="1:13" x14ac:dyDescent="0.35">
      <c r="A117" s="30">
        <v>46357</v>
      </c>
      <c r="B117" s="29" t="s">
        <v>8</v>
      </c>
      <c r="C117" s="29">
        <v>66008.800000000003</v>
      </c>
      <c r="D117" s="29">
        <v>86.78</v>
      </c>
      <c r="E117" s="29">
        <v>5728507</v>
      </c>
      <c r="F117" s="29">
        <v>1269466</v>
      </c>
      <c r="G117" s="29">
        <v>156000</v>
      </c>
      <c r="H117" s="29">
        <v>4303040</v>
      </c>
      <c r="I117" s="29">
        <v>64800</v>
      </c>
      <c r="J117" s="29">
        <v>0.4929</v>
      </c>
      <c r="K117" s="29">
        <v>14</v>
      </c>
      <c r="L117" s="29">
        <v>0.98119999999999996</v>
      </c>
      <c r="M117" s="29" t="s">
        <v>114</v>
      </c>
    </row>
    <row r="118" spans="1:13" x14ac:dyDescent="0.35">
      <c r="A118" s="30">
        <v>46357</v>
      </c>
      <c r="B118" s="29" t="s">
        <v>13</v>
      </c>
      <c r="C118" s="29">
        <v>2820.4</v>
      </c>
      <c r="D118" s="29">
        <v>82.57</v>
      </c>
      <c r="E118" s="29">
        <v>232872</v>
      </c>
      <c r="F118" s="29">
        <v>107021</v>
      </c>
      <c r="G118" s="29">
        <v>43050</v>
      </c>
      <c r="H118" s="29">
        <v>82801</v>
      </c>
      <c r="I118" s="29">
        <v>8320</v>
      </c>
      <c r="J118" s="29">
        <v>5.0500000000000003E-2</v>
      </c>
      <c r="K118" s="29">
        <v>3</v>
      </c>
      <c r="L118" s="29">
        <v>0.996</v>
      </c>
      <c r="M118" s="29" t="s">
        <v>114</v>
      </c>
    </row>
    <row r="119" spans="1:13" x14ac:dyDescent="0.35">
      <c r="A119" s="30">
        <v>46357</v>
      </c>
      <c r="B119" s="29" t="s">
        <v>17</v>
      </c>
      <c r="C119" s="29">
        <v>1579.4</v>
      </c>
      <c r="D119" s="29">
        <v>82.57</v>
      </c>
      <c r="E119" s="29">
        <v>130408</v>
      </c>
      <c r="F119" s="29">
        <v>63846</v>
      </c>
      <c r="G119" s="29">
        <v>30750</v>
      </c>
      <c r="H119" s="29">
        <v>35812</v>
      </c>
      <c r="I119" s="29">
        <v>8320</v>
      </c>
      <c r="J119" s="29">
        <v>5.0500000000000003E-2</v>
      </c>
      <c r="K119" s="29">
        <v>3</v>
      </c>
      <c r="L119" s="29">
        <v>0.996</v>
      </c>
      <c r="M119" s="29" t="s">
        <v>114</v>
      </c>
    </row>
    <row r="120" spans="1:13" x14ac:dyDescent="0.35">
      <c r="A120" s="30">
        <v>46357</v>
      </c>
      <c r="B120" s="29" t="s">
        <v>20</v>
      </c>
      <c r="C120" s="29">
        <v>22517</v>
      </c>
      <c r="D120" s="29">
        <v>57.99</v>
      </c>
      <c r="E120" s="29">
        <v>1305851</v>
      </c>
      <c r="F120" s="29">
        <v>339516</v>
      </c>
      <c r="G120" s="29">
        <v>67600</v>
      </c>
      <c r="H120" s="29">
        <v>898735</v>
      </c>
      <c r="I120" s="29">
        <v>75600</v>
      </c>
      <c r="J120" s="29">
        <v>0.50439999999999996</v>
      </c>
      <c r="K120" s="29">
        <v>11</v>
      </c>
      <c r="L120" s="29">
        <v>0.98519999999999996</v>
      </c>
      <c r="M120" s="29" t="s">
        <v>114</v>
      </c>
    </row>
    <row r="121" spans="1:13" x14ac:dyDescent="0.35">
      <c r="A121" s="30">
        <v>46357</v>
      </c>
      <c r="B121" s="29" t="s">
        <v>25</v>
      </c>
      <c r="C121" s="29">
        <v>7231.7</v>
      </c>
      <c r="D121" s="29">
        <v>118</v>
      </c>
      <c r="E121" s="29">
        <v>853338</v>
      </c>
      <c r="F121" s="29">
        <v>1088402</v>
      </c>
      <c r="G121" s="29">
        <v>100700</v>
      </c>
      <c r="H121" s="29">
        <v>-335764</v>
      </c>
      <c r="I121" s="29">
        <v>462000</v>
      </c>
      <c r="J121" s="29">
        <v>0.48599999999999999</v>
      </c>
      <c r="K121" s="29">
        <v>28</v>
      </c>
      <c r="L121" s="29">
        <v>0.96240000000000003</v>
      </c>
      <c r="M121" s="29" t="s">
        <v>114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0860C-BDBE-469F-BE43-132C25BF4639}">
  <sheetPr codeName="Sheet7"/>
  <dimension ref="A1:L50"/>
  <sheetViews>
    <sheetView showGridLines="0" topLeftCell="A46" zoomScaleNormal="100" workbookViewId="0">
      <selection activeCell="I59" sqref="I59"/>
    </sheetView>
  </sheetViews>
  <sheetFormatPr defaultRowHeight="14.5" x14ac:dyDescent="0.35"/>
  <cols>
    <col min="1" max="1" width="29.08984375" bestFit="1" customWidth="1"/>
    <col min="2" max="4" width="17.453125" bestFit="1" customWidth="1"/>
    <col min="5" max="5" width="16.36328125" bestFit="1" customWidth="1"/>
    <col min="6" max="7" width="16.453125" bestFit="1" customWidth="1"/>
    <col min="8" max="8" width="18.453125" bestFit="1" customWidth="1"/>
    <col min="9" max="9" width="15.26953125" bestFit="1" customWidth="1"/>
    <col min="10" max="10" width="15.08984375" bestFit="1" customWidth="1"/>
    <col min="11" max="11" width="15.6328125" bestFit="1" customWidth="1"/>
    <col min="12" max="12" width="12.6328125" bestFit="1" customWidth="1"/>
  </cols>
  <sheetData>
    <row r="1" spans="1:12" x14ac:dyDescent="0.35">
      <c r="A1" t="s">
        <v>115</v>
      </c>
    </row>
    <row r="3" spans="1:12" x14ac:dyDescent="0.35">
      <c r="A3" t="s">
        <v>116</v>
      </c>
      <c r="B3" t="s">
        <v>113</v>
      </c>
      <c r="C3" t="s">
        <v>112</v>
      </c>
      <c r="D3" t="s">
        <v>114</v>
      </c>
      <c r="E3" t="s">
        <v>117</v>
      </c>
      <c r="F3" t="s">
        <v>118</v>
      </c>
      <c r="G3" t="s">
        <v>119</v>
      </c>
      <c r="H3" t="s">
        <v>120</v>
      </c>
    </row>
    <row r="4" spans="1:12" x14ac:dyDescent="0.35">
      <c r="A4" t="s">
        <v>121</v>
      </c>
      <c r="B4" s="17">
        <f>SUMIFS(fpna_monthly_combined[revenue_eur],fpna_monthly_combined[Scenario],"Actual")</f>
        <v>136797930</v>
      </c>
      <c r="C4" s="17">
        <f>SUMIFS(fpna_monthly_combined[revenue_eur],fpna_monthly_combined[Scenario],"Budget")</f>
        <v>147328639</v>
      </c>
      <c r="D4" s="17">
        <f>SUMIFS(fpna_monthly_combined[revenue_eur],fpna_monthly_combined[Scenario],"Forecast")</f>
        <v>139428477</v>
      </c>
      <c r="E4" s="17">
        <f>B4-C4</f>
        <v>-10530709</v>
      </c>
      <c r="F4" s="18">
        <f>IFERROR(E4/C4,0)</f>
        <v>-7.147767787361424E-2</v>
      </c>
      <c r="G4" s="17">
        <f>D4-C4</f>
        <v>-7900162</v>
      </c>
      <c r="H4" s="18">
        <f>IFERROR(G4/C4,0)</f>
        <v>-5.3622717576315898E-2</v>
      </c>
    </row>
    <row r="5" spans="1:12" x14ac:dyDescent="0.35">
      <c r="A5" t="s">
        <v>122</v>
      </c>
      <c r="B5" s="17">
        <f>SUMIFS(fpna_monthly_combined[direct_opex_eur],fpna_monthly_combined[Scenario],"Actual")</f>
        <v>64247970</v>
      </c>
      <c r="C5" s="17">
        <f>SUMIFS(fpna_monthly_combined[direct_opex_eur],fpna_monthly_combined[Scenario],"Budget")</f>
        <v>56918774</v>
      </c>
      <c r="D5" s="17">
        <f>SUMIFS(fpna_monthly_combined[direct_opex_eur],fpna_monthly_combined[Scenario],"Forecast")</f>
        <v>61270546</v>
      </c>
      <c r="E5" s="17">
        <f>B5-C5</f>
        <v>7329196</v>
      </c>
      <c r="F5" s="18">
        <f>IFERROR(E5/C5,0)</f>
        <v>0.12876587960239622</v>
      </c>
      <c r="G5" s="17">
        <f>D5-C5</f>
        <v>4351772</v>
      </c>
      <c r="H5" s="18">
        <f>IFERROR(G5/C5,0)</f>
        <v>7.645582808934008E-2</v>
      </c>
    </row>
    <row r="6" spans="1:12" x14ac:dyDescent="0.35">
      <c r="A6" t="s">
        <v>123</v>
      </c>
      <c r="B6" s="17">
        <f>SUMIFS(fpna_monthly_combined[allocated_overhead_eur],fpna_monthly_combined[Scenario],"Actual")</f>
        <v>9554400</v>
      </c>
      <c r="C6" s="17">
        <f>SUMIFS(fpna_monthly_combined[allocated_overhead_eur],fpna_monthly_combined[Scenario],"Budget")</f>
        <v>9168000</v>
      </c>
      <c r="D6" s="17">
        <f>SUMIFS(fpna_monthly_combined[allocated_overhead_eur],fpna_monthly_combined[Scenario],"Forecast")</f>
        <v>9554400</v>
      </c>
      <c r="E6" s="17">
        <f t="shared" ref="E6:E10" si="0">B6-C6</f>
        <v>386400</v>
      </c>
      <c r="F6" s="18">
        <f t="shared" ref="F6:F10" si="1">IFERROR(E6/C6,0)</f>
        <v>4.2146596858638745E-2</v>
      </c>
      <c r="G6" s="17">
        <f t="shared" ref="G6:G10" si="2">D6-C6</f>
        <v>386400</v>
      </c>
      <c r="H6" s="18">
        <f t="shared" ref="H6:H10" si="3">IFERROR(G6/C6,0)</f>
        <v>4.2146596858638745E-2</v>
      </c>
    </row>
    <row r="7" spans="1:12" x14ac:dyDescent="0.35">
      <c r="A7" t="s">
        <v>124</v>
      </c>
      <c r="B7" s="17">
        <f>SUMIFS(fpna_monthly_combined[ebitda_eur],fpna_monthly_combined[Scenario],"Actual")</f>
        <v>62995562</v>
      </c>
      <c r="C7" s="17">
        <f>SUMIFS(fpna_monthly_combined[ebitda_eur],fpna_monthly_combined[Scenario],"Budget")</f>
        <v>81241865</v>
      </c>
      <c r="D7" s="17">
        <f>SUMIFS(fpna_monthly_combined[ebitda_eur],fpna_monthly_combined[Scenario],"Forecast")</f>
        <v>68603524</v>
      </c>
      <c r="E7" s="17">
        <f t="shared" si="0"/>
        <v>-18246303</v>
      </c>
      <c r="F7" s="18">
        <f t="shared" si="1"/>
        <v>-0.22459236995605653</v>
      </c>
      <c r="G7" s="17">
        <f t="shared" si="2"/>
        <v>-12638341</v>
      </c>
      <c r="H7" s="18">
        <f t="shared" si="3"/>
        <v>-0.15556438789286781</v>
      </c>
    </row>
    <row r="8" spans="1:12" x14ac:dyDescent="0.35">
      <c r="A8" t="s">
        <v>125</v>
      </c>
      <c r="B8" s="17">
        <f>SUMIFS(fpna_monthly_combined[capex_eur],fpna_monthly_combined[Scenario],"Actual")</f>
        <v>19631695</v>
      </c>
      <c r="C8" s="17">
        <f>SUMIFS(fpna_monthly_combined[capex_eur],fpna_monthly_combined[Scenario],"Budget")</f>
        <v>19170000</v>
      </c>
      <c r="D8" s="17">
        <f>SUMIFS(fpna_monthly_combined[capex_eur],fpna_monthly_combined[Scenario],"Forecast")</f>
        <v>19366000</v>
      </c>
      <c r="E8" s="17">
        <f t="shared" si="0"/>
        <v>461695</v>
      </c>
      <c r="F8" s="18">
        <f t="shared" si="1"/>
        <v>2.4084246218049034E-2</v>
      </c>
      <c r="G8" s="17">
        <f t="shared" si="2"/>
        <v>196000</v>
      </c>
      <c r="H8" s="18">
        <f t="shared" si="3"/>
        <v>1.0224308815858112E-2</v>
      </c>
    </row>
    <row r="9" spans="1:12" x14ac:dyDescent="0.35">
      <c r="A9" t="s">
        <v>126</v>
      </c>
      <c r="B9" s="19">
        <f>SUMIFS(fpna_monthly_combined[production_mwh],fpna_monthly_combined[Scenario],"Actual")</f>
        <v>1976268.4999999991</v>
      </c>
      <c r="C9" s="19">
        <f>SUMIFS(fpna_monthly_combined[production_mwh],fpna_monthly_combined[Scenario],"Budget")</f>
        <v>2008387.3999999994</v>
      </c>
      <c r="D9" s="19">
        <f>SUMIFS(fpna_monthly_combined[production_mwh],fpna_monthly_combined[Scenario],"Forecast")</f>
        <v>1983669.6999999995</v>
      </c>
      <c r="E9" s="19">
        <f t="shared" si="0"/>
        <v>-32118.900000000373</v>
      </c>
      <c r="F9" s="18">
        <f>IFERROR(E9/C9,0)</f>
        <v>-1.5992382744484647E-2</v>
      </c>
      <c r="G9" s="20">
        <f>D9-C9</f>
        <v>-24717.699999999953</v>
      </c>
      <c r="H9" s="18">
        <f>IFERROR(G9/C9,0)</f>
        <v>-1.2307237139607607E-2</v>
      </c>
    </row>
    <row r="10" spans="1:12" x14ac:dyDescent="0.35">
      <c r="A10" t="s">
        <v>127</v>
      </c>
      <c r="B10" s="20">
        <f>SUMIFS(fpna_monthly_combined[downtime_hours],fpna_monthly_combined[Scenario],"Actual")</f>
        <v>1847</v>
      </c>
      <c r="C10" s="20">
        <f>SUMIFS(fpna_monthly_combined[downtime_hours],fpna_monthly_combined[Scenario],"Budget")</f>
        <v>900</v>
      </c>
      <c r="D10" s="20">
        <f>SUMIFS(fpna_monthly_combined[downtime_hours],fpna_monthly_combined[Scenario],"Forecast")</f>
        <v>1692</v>
      </c>
      <c r="E10" s="20">
        <f t="shared" si="0"/>
        <v>947</v>
      </c>
      <c r="F10" s="21">
        <f t="shared" si="1"/>
        <v>1.0522222222222222</v>
      </c>
      <c r="G10" s="20">
        <f t="shared" si="2"/>
        <v>792</v>
      </c>
      <c r="H10" s="18">
        <f t="shared" si="3"/>
        <v>0.88</v>
      </c>
    </row>
    <row r="13" spans="1:12" x14ac:dyDescent="0.35">
      <c r="A13" t="s">
        <v>128</v>
      </c>
    </row>
    <row r="15" spans="1:12" x14ac:dyDescent="0.35">
      <c r="A15" t="s">
        <v>129</v>
      </c>
      <c r="B15" t="s">
        <v>130</v>
      </c>
      <c r="C15" t="s">
        <v>131</v>
      </c>
      <c r="D15" t="s">
        <v>132</v>
      </c>
      <c r="E15" t="s">
        <v>133</v>
      </c>
      <c r="F15" t="s">
        <v>134</v>
      </c>
      <c r="G15" t="s">
        <v>135</v>
      </c>
      <c r="H15" t="s">
        <v>136</v>
      </c>
      <c r="I15" t="s">
        <v>137</v>
      </c>
      <c r="J15" t="s">
        <v>138</v>
      </c>
      <c r="K15" t="s">
        <v>139</v>
      </c>
      <c r="L15" t="s">
        <v>140</v>
      </c>
    </row>
    <row r="16" spans="1:12" x14ac:dyDescent="0.35">
      <c r="A16" s="22" t="str" cm="1">
        <f t="array" ref="A16:A20">_xlfn._xlws.SORT(_xlfn.UNIQUE(fpna_monthly_combined[asset_name]))</f>
        <v>Brabant Solar C</v>
      </c>
      <c r="B16" s="22" t="str">
        <f>_xlfn.XLOOKUP(A16,fpna_monthly_combined[asset_name],fpna_monthly_combined[technology],"")</f>
        <v>Solar PV</v>
      </c>
      <c r="C16" s="23">
        <f>SUMIFS(fpna_monthly_combined[revenue_eur],fpna_monthly_combined[asset_name],$A16,fpna_monthly_combined[Scenario],"Actual")</f>
        <v>6344855</v>
      </c>
      <c r="D16" s="17">
        <f>SUMIFS(fpna_monthly_combined[revenue_eur],fpna_monthly_combined[asset_name],$A16,fpna_monthly_combined[Scenario],"Budget")</f>
        <v>6399685</v>
      </c>
      <c r="E16" s="22">
        <f>C16-D16</f>
        <v>-54830</v>
      </c>
      <c r="F16" s="23">
        <f>SUMIFS(fpna_monthly_combined[ebitda_eur],fpna_monthly_combined[asset_name],$A16,fpna_monthly_combined[Scenario],"Actual")</f>
        <v>3862374</v>
      </c>
      <c r="G16" s="23">
        <f>SUMIFS(fpna_monthly_combined[ebitda_eur],fpna_monthly_combined[asset_name],$A16,fpna_monthly_combined[Scenario],"Budget")</f>
        <v>3988200</v>
      </c>
      <c r="H16" s="22">
        <f>F16-G16</f>
        <v>-125826</v>
      </c>
      <c r="I16" s="18">
        <f>IF(G16&lt;0,"n.m.",IFERROR(H16/G16,0))</f>
        <v>-3.1549571235143674E-2</v>
      </c>
      <c r="J16" s="22">
        <f>SUMIFS(fpna_monthly_combined[downtime_hours],fpna_monthly_combined[asset_name],$A16,fpna_monthly_combined[Scenario],"Actual")</f>
        <v>106</v>
      </c>
      <c r="K16" s="22">
        <f>SUMIFS(fpna_monthly_combined[downtime_hours],fpna_monthly_combined[asset_name],$A16,fpna_monthly_combined[Scenario],"Budget")</f>
        <v>64</v>
      </c>
      <c r="L16" s="22">
        <f>J16-K16</f>
        <v>42</v>
      </c>
    </row>
    <row r="17" spans="1:12" x14ac:dyDescent="0.35">
      <c r="A17" t="str">
        <v>Flevoland Solar B</v>
      </c>
      <c r="B17" s="22" t="str">
        <f>_xlfn.XLOOKUP(A17,fpna_monthly_combined[asset_name],fpna_monthly_combined[technology],"")</f>
        <v>Solar PV</v>
      </c>
      <c r="C17" s="23">
        <f>SUMIFS(fpna_monthly_combined[revenue_eur],fpna_monthly_combined[asset_name],$A17,fpna_monthly_combined[Scenario],"Actual")</f>
        <v>11560396</v>
      </c>
      <c r="D17" s="17">
        <f>SUMIFS(fpna_monthly_combined[revenue_eur],fpna_monthly_combined[asset_name],$A17,fpna_monthly_combined[Scenario],"Budget")</f>
        <v>11428015</v>
      </c>
      <c r="E17" s="22">
        <f t="shared" ref="E17:E20" si="4">C17-D17</f>
        <v>132381</v>
      </c>
      <c r="F17" s="23">
        <f>SUMIFS(fpna_monthly_combined[ebitda_eur],fpna_monthly_combined[asset_name],$A17,fpna_monthly_combined[Scenario],"Actual")</f>
        <v>7599197</v>
      </c>
      <c r="G17" s="23">
        <f>SUMIFS(fpna_monthly_combined[ebitda_eur],fpna_monthly_combined[asset_name],$A17,fpna_monthly_combined[Scenario],"Budget")</f>
        <v>7562362</v>
      </c>
      <c r="H17" s="22">
        <f t="shared" ref="H17:H20" si="5">F17-G17</f>
        <v>36835</v>
      </c>
      <c r="I17" s="18">
        <f t="shared" ref="I17:I20" si="6">IF(G17&lt;0,"n.m.",IFERROR(H17/G17,0))</f>
        <v>4.870832684285677E-3</v>
      </c>
      <c r="J17" s="22">
        <f>SUMIFS(fpna_monthly_combined[downtime_hours],fpna_monthly_combined[asset_name],$A17,fpna_monthly_combined[Scenario],"Actual")</f>
        <v>104</v>
      </c>
      <c r="K17" s="22">
        <f>SUMIFS(fpna_monthly_combined[downtime_hours],fpna_monthly_combined[asset_name],$A17,fpna_monthly_combined[Scenario],"Budget")</f>
        <v>64</v>
      </c>
      <c r="L17" s="22">
        <f t="shared" ref="L17:L20" si="7">J17-K17</f>
        <v>40</v>
      </c>
    </row>
    <row r="18" spans="1:12" x14ac:dyDescent="0.35">
      <c r="A18" t="str">
        <v>Groningen Hydrogen Pilot E</v>
      </c>
      <c r="B18" s="22" t="str">
        <f>_xlfn.XLOOKUP(A18,fpna_monthly_combined[asset_name],fpna_monthly_combined[technology],"")</f>
        <v>Hydrogen pilot</v>
      </c>
      <c r="C18" s="23">
        <f>SUMIFS(fpna_monthly_combined[revenue_eur],fpna_monthly_combined[asset_name],$A18,fpna_monthly_combined[Scenario],"Actual")</f>
        <v>11235894</v>
      </c>
      <c r="D18" s="17">
        <f>SUMIFS(fpna_monthly_combined[revenue_eur],fpna_monthly_combined[asset_name],$A18,fpna_monthly_combined[Scenario],"Budget")</f>
        <v>14973349</v>
      </c>
      <c r="E18" s="22">
        <f t="shared" si="4"/>
        <v>-3737455</v>
      </c>
      <c r="F18" s="23">
        <f>SUMIFS(fpna_monthly_combined[ebitda_eur],fpna_monthly_combined[asset_name],$A18,fpna_monthly_combined[Scenario],"Actual")</f>
        <v>-14367559</v>
      </c>
      <c r="G18" s="23">
        <f>SUMIFS(fpna_monthly_combined[ebitda_eur],fpna_monthly_combined[asset_name],$A18,fpna_monthly_combined[Scenario],"Budget")</f>
        <v>-6522932</v>
      </c>
      <c r="H18" s="22">
        <f t="shared" si="5"/>
        <v>-7844627</v>
      </c>
      <c r="I18" s="18" t="str">
        <f t="shared" si="6"/>
        <v>n.m.</v>
      </c>
      <c r="J18" s="22">
        <f>SUMIFS(fpna_monthly_combined[downtime_hours],fpna_monthly_combined[asset_name],$A18,fpna_monthly_combined[Scenario],"Actual")</f>
        <v>866</v>
      </c>
      <c r="K18" s="22">
        <f>SUMIFS(fpna_monthly_combined[downtime_hours],fpna_monthly_combined[asset_name],$A18,fpna_monthly_combined[Scenario],"Budget")</f>
        <v>380</v>
      </c>
      <c r="L18" s="22">
        <f t="shared" si="7"/>
        <v>486</v>
      </c>
    </row>
    <row r="19" spans="1:12" x14ac:dyDescent="0.35">
      <c r="A19" t="str">
        <v>Noordzee Wind A</v>
      </c>
      <c r="B19" s="22" t="str">
        <f>_xlfn.XLOOKUP(A19,fpna_monthly_combined[asset_name],fpna_monthly_combined[technology],"")</f>
        <v>Offshore wind</v>
      </c>
      <c r="C19" s="23">
        <f>SUMIFS(fpna_monthly_combined[revenue_eur],fpna_monthly_combined[asset_name],$A19,fpna_monthly_combined[Scenario],"Actual")</f>
        <v>89440037</v>
      </c>
      <c r="D19" s="17">
        <f>SUMIFS(fpna_monthly_combined[revenue_eur],fpna_monthly_combined[asset_name],$A19,fpna_monthly_combined[Scenario],"Budget")</f>
        <v>98288490</v>
      </c>
      <c r="E19" s="22">
        <f t="shared" si="4"/>
        <v>-8848453</v>
      </c>
      <c r="F19" s="23">
        <f>SUMIFS(fpna_monthly_combined[ebitda_eur],fpna_monthly_combined[asset_name],$A19,fpna_monthly_combined[Scenario],"Actual")</f>
        <v>57157076</v>
      </c>
      <c r="G19" s="23">
        <f>SUMIFS(fpna_monthly_combined[ebitda_eur],fpna_monthly_combined[asset_name],$A19,fpna_monthly_combined[Scenario],"Budget")</f>
        <v>68682975</v>
      </c>
      <c r="H19" s="22">
        <f t="shared" si="5"/>
        <v>-11525899</v>
      </c>
      <c r="I19" s="18">
        <f t="shared" si="6"/>
        <v>-0.16781304246066803</v>
      </c>
      <c r="J19" s="22">
        <f>SUMIFS(fpna_monthly_combined[downtime_hours],fpna_monthly_combined[asset_name],$A19,fpna_monthly_combined[Scenario],"Actual")</f>
        <v>439</v>
      </c>
      <c r="K19" s="22">
        <f>SUMIFS(fpna_monthly_combined[downtime_hours],fpna_monthly_combined[asset_name],$A19,fpna_monthly_combined[Scenario],"Budget")</f>
        <v>200</v>
      </c>
      <c r="L19" s="22">
        <f t="shared" si="7"/>
        <v>239</v>
      </c>
    </row>
    <row r="20" spans="1:12" x14ac:dyDescent="0.35">
      <c r="A20" t="str">
        <v>Rotterdam Battery D</v>
      </c>
      <c r="B20" s="22" t="str">
        <f>_xlfn.XLOOKUP(A20,fpna_monthly_combined[asset_name],fpna_monthly_combined[technology],"")</f>
        <v>Battery storage</v>
      </c>
      <c r="C20" s="23">
        <f>SUMIFS(fpna_monthly_combined[revenue_eur],fpna_monthly_combined[asset_name],$A20,fpna_monthly_combined[Scenario],"Actual")</f>
        <v>18216748</v>
      </c>
      <c r="D20" s="17">
        <f>SUMIFS(fpna_monthly_combined[revenue_eur],fpna_monthly_combined[asset_name],$A20,fpna_monthly_combined[Scenario],"Budget")</f>
        <v>16239100</v>
      </c>
      <c r="E20" s="22">
        <f t="shared" si="4"/>
        <v>1977648</v>
      </c>
      <c r="F20" s="23">
        <f>SUMIFS(fpna_monthly_combined[ebitda_eur],fpna_monthly_combined[asset_name],$A20,fpna_monthly_combined[Scenario],"Actual")</f>
        <v>8744474</v>
      </c>
      <c r="G20" s="23">
        <f>SUMIFS(fpna_monthly_combined[ebitda_eur],fpna_monthly_combined[asset_name],$A20,fpna_monthly_combined[Scenario],"Budget")</f>
        <v>7531260</v>
      </c>
      <c r="H20" s="22">
        <f t="shared" si="5"/>
        <v>1213214</v>
      </c>
      <c r="I20" s="18">
        <f t="shared" si="6"/>
        <v>0.16109044170563758</v>
      </c>
      <c r="J20" s="22">
        <f>SUMIFS(fpna_monthly_combined[downtime_hours],fpna_monthly_combined[asset_name],$A20,fpna_monthly_combined[Scenario],"Actual")</f>
        <v>332</v>
      </c>
      <c r="K20" s="22">
        <f>SUMIFS(fpna_monthly_combined[downtime_hours],fpna_monthly_combined[asset_name],$A20,fpna_monthly_combined[Scenario],"Budget")</f>
        <v>192</v>
      </c>
      <c r="L20" s="22">
        <f t="shared" si="7"/>
        <v>140</v>
      </c>
    </row>
    <row r="24" spans="1:12" x14ac:dyDescent="0.35">
      <c r="A24" t="s">
        <v>170</v>
      </c>
    </row>
    <row r="26" spans="1:12" x14ac:dyDescent="0.35">
      <c r="A26" t="s">
        <v>171</v>
      </c>
      <c r="B26" t="s">
        <v>131</v>
      </c>
      <c r="C26" t="s">
        <v>132</v>
      </c>
      <c r="D26" t="s">
        <v>172</v>
      </c>
      <c r="E26" t="s">
        <v>134</v>
      </c>
      <c r="F26" t="s">
        <v>135</v>
      </c>
      <c r="G26" t="s">
        <v>173</v>
      </c>
      <c r="H26" t="s">
        <v>133</v>
      </c>
      <c r="I26" t="s">
        <v>136</v>
      </c>
    </row>
    <row r="27" spans="1:12" x14ac:dyDescent="0.35">
      <c r="A27" s="24" cm="1">
        <f t="array" ref="A27:A50">_xlfn._xlws.SORT(_xlfn.UNIQUE(fpna_monthly_combined[month]))</f>
        <v>45658</v>
      </c>
      <c r="B27" s="23">
        <f>SUMIFS(fpna_monthly_combined[revenue_eur], fpna_monthly_combined[month], $A27, fpna_monthly_combined[Scenario], "Actual")</f>
        <v>6212435</v>
      </c>
      <c r="C27" s="23">
        <f>SUMIFS(fpna_monthly_combined[revenue_eur], fpna_monthly_combined[month], $A27, fpna_monthly_combined[Scenario], "Budget")</f>
        <v>7317462</v>
      </c>
      <c r="D27" s="23">
        <f>SUMIFS(fpna_monthly_combined[revenue_eur], fpna_monthly_combined[month], $A27, fpna_monthly_combined[Scenario], "Forecast")</f>
        <v>6669851</v>
      </c>
      <c r="E27" s="23">
        <f>SUMIFS(fpna_monthly_combined[ebitda_eur], fpna_monthly_combined[month], $A27, fpna_monthly_combined[Scenario], "Actual")</f>
        <v>3329129</v>
      </c>
      <c r="F27" s="23">
        <f>SUMIFS(fpna_monthly_combined[ebitda_eur], fpna_monthly_combined[month], $A27, fpna_monthly_combined[Scenario], "Budget")</f>
        <v>4704361</v>
      </c>
      <c r="G27" s="23">
        <f>SUMIFS(fpna_monthly_combined[ebitda_eur], fpna_monthly_combined[month], $A27, fpna_monthly_combined[Scenario], "Forecast")</f>
        <v>3859720</v>
      </c>
      <c r="H27" s="23">
        <f>B27-C27</f>
        <v>-1105027</v>
      </c>
      <c r="I27" s="23">
        <f>E27-F27</f>
        <v>-1375232</v>
      </c>
    </row>
    <row r="28" spans="1:12" x14ac:dyDescent="0.35">
      <c r="A28" s="3">
        <v>45689</v>
      </c>
      <c r="B28" s="23">
        <f>SUMIFS(fpna_monthly_combined[revenue_eur], fpna_monthly_combined[month], $A28, fpna_monthly_combined[Scenario], "Actual")</f>
        <v>5646508</v>
      </c>
      <c r="C28" s="23">
        <f>SUMIFS(fpna_monthly_combined[revenue_eur], fpna_monthly_combined[month], $A28, fpna_monthly_combined[Scenario], "Budget")</f>
        <v>6282915</v>
      </c>
      <c r="D28" s="23">
        <f>SUMIFS(fpna_monthly_combined[revenue_eur], fpna_monthly_combined[month], $A28, fpna_monthly_combined[Scenario], "Forecast")</f>
        <v>5736093</v>
      </c>
      <c r="E28" s="23">
        <f>SUMIFS(fpna_monthly_combined[ebitda_eur], fpna_monthly_combined[month], $A28, fpna_monthly_combined[Scenario], "Actual")</f>
        <v>2800724</v>
      </c>
      <c r="F28" s="23">
        <f>SUMIFS(fpna_monthly_combined[ebitda_eur], fpna_monthly_combined[month], $A28, fpna_monthly_combined[Scenario], "Budget")</f>
        <v>3744957</v>
      </c>
      <c r="G28" s="23">
        <f>SUMIFS(fpna_monthly_combined[ebitda_eur], fpna_monthly_combined[month], $A28, fpna_monthly_combined[Scenario], "Forecast")</f>
        <v>3006191</v>
      </c>
      <c r="H28" s="23">
        <f t="shared" ref="H28:H50" si="8">B28-C28</f>
        <v>-636407</v>
      </c>
      <c r="I28" s="23">
        <f t="shared" ref="I28:I50" si="9">E28-F28</f>
        <v>-944233</v>
      </c>
    </row>
    <row r="29" spans="1:12" x14ac:dyDescent="0.35">
      <c r="A29" s="3">
        <v>45717</v>
      </c>
      <c r="B29" s="23">
        <f>SUMIFS(fpna_monthly_combined[revenue_eur], fpna_monthly_combined[month], $A29, fpna_monthly_combined[Scenario], "Actual")</f>
        <v>5936102</v>
      </c>
      <c r="C29" s="23">
        <f>SUMIFS(fpna_monthly_combined[revenue_eur], fpna_monthly_combined[month], $A29, fpna_monthly_combined[Scenario], "Budget")</f>
        <v>6358586</v>
      </c>
      <c r="D29" s="23">
        <f>SUMIFS(fpna_monthly_combined[revenue_eur], fpna_monthly_combined[month], $A29, fpna_monthly_combined[Scenario], "Forecast")</f>
        <v>5827983</v>
      </c>
      <c r="E29" s="23">
        <f>SUMIFS(fpna_monthly_combined[ebitda_eur], fpna_monthly_combined[month], $A29, fpna_monthly_combined[Scenario], "Actual")</f>
        <v>2980174</v>
      </c>
      <c r="F29" s="23">
        <f>SUMIFS(fpna_monthly_combined[ebitda_eur], fpna_monthly_combined[month], $A29, fpna_monthly_combined[Scenario], "Budget")</f>
        <v>3758716</v>
      </c>
      <c r="G29" s="23">
        <f>SUMIFS(fpna_monthly_combined[ebitda_eur], fpna_monthly_combined[month], $A29, fpna_monthly_combined[Scenario], "Forecast")</f>
        <v>3030246</v>
      </c>
      <c r="H29" s="23">
        <f t="shared" si="8"/>
        <v>-422484</v>
      </c>
      <c r="I29" s="23">
        <f t="shared" si="9"/>
        <v>-778542</v>
      </c>
    </row>
    <row r="30" spans="1:12" x14ac:dyDescent="0.35">
      <c r="A30" s="3">
        <v>45748</v>
      </c>
      <c r="B30" s="23">
        <f>SUMIFS(fpna_monthly_combined[revenue_eur], fpna_monthly_combined[month], $A30, fpna_monthly_combined[Scenario], "Actual")</f>
        <v>4702421</v>
      </c>
      <c r="C30" s="23">
        <f>SUMIFS(fpna_monthly_combined[revenue_eur], fpna_monthly_combined[month], $A30, fpna_monthly_combined[Scenario], "Budget")</f>
        <v>5386728</v>
      </c>
      <c r="D30" s="23">
        <f>SUMIFS(fpna_monthly_combined[revenue_eur], fpna_monthly_combined[month], $A30, fpna_monthly_combined[Scenario], "Forecast")</f>
        <v>4956826</v>
      </c>
      <c r="E30" s="23">
        <f>SUMIFS(fpna_monthly_combined[ebitda_eur], fpna_monthly_combined[month], $A30, fpna_monthly_combined[Scenario], "Actual")</f>
        <v>1491709</v>
      </c>
      <c r="F30" s="23">
        <f>SUMIFS(fpna_monthly_combined[ebitda_eur], fpna_monthly_combined[month], $A30, fpna_monthly_combined[Scenario], "Budget")</f>
        <v>2729398</v>
      </c>
      <c r="G30" s="23">
        <f>SUMIFS(fpna_monthly_combined[ebitda_eur], fpna_monthly_combined[month], $A30, fpna_monthly_combined[Scenario], "Forecast")</f>
        <v>2097521</v>
      </c>
      <c r="H30" s="23">
        <f t="shared" si="8"/>
        <v>-684307</v>
      </c>
      <c r="I30" s="23">
        <f t="shared" si="9"/>
        <v>-1237689</v>
      </c>
    </row>
    <row r="31" spans="1:12" x14ac:dyDescent="0.35">
      <c r="A31" s="3">
        <v>45778</v>
      </c>
      <c r="B31" s="23">
        <f>SUMIFS(fpna_monthly_combined[revenue_eur], fpna_monthly_combined[month], $A31, fpna_monthly_combined[Scenario], "Actual")</f>
        <v>4293722</v>
      </c>
      <c r="C31" s="23">
        <f>SUMIFS(fpna_monthly_combined[revenue_eur], fpna_monthly_combined[month], $A31, fpna_monthly_combined[Scenario], "Budget")</f>
        <v>5018343</v>
      </c>
      <c r="D31" s="23">
        <f>SUMIFS(fpna_monthly_combined[revenue_eur], fpna_monthly_combined[month], $A31, fpna_monthly_combined[Scenario], "Forecast")</f>
        <v>4632839</v>
      </c>
      <c r="E31" s="23">
        <f>SUMIFS(fpna_monthly_combined[ebitda_eur], fpna_monthly_combined[month], $A31, fpna_monthly_combined[Scenario], "Actual")</f>
        <v>1285300</v>
      </c>
      <c r="F31" s="23">
        <f>SUMIFS(fpna_monthly_combined[ebitda_eur], fpna_monthly_combined[month], $A31, fpna_monthly_combined[Scenario], "Budget")</f>
        <v>2473396</v>
      </c>
      <c r="G31" s="23">
        <f>SUMIFS(fpna_monthly_combined[ebitda_eur], fpna_monthly_combined[month], $A31, fpna_monthly_combined[Scenario], "Forecast")</f>
        <v>1891969</v>
      </c>
      <c r="H31" s="23">
        <f t="shared" si="8"/>
        <v>-724621</v>
      </c>
      <c r="I31" s="23">
        <f t="shared" si="9"/>
        <v>-1188096</v>
      </c>
    </row>
    <row r="32" spans="1:12" x14ac:dyDescent="0.35">
      <c r="A32" s="3">
        <v>45809</v>
      </c>
      <c r="B32" s="23">
        <f>SUMIFS(fpna_monthly_combined[revenue_eur], fpna_monthly_combined[month], $A32, fpna_monthly_combined[Scenario], "Actual")</f>
        <v>3972882</v>
      </c>
      <c r="C32" s="23">
        <f>SUMIFS(fpna_monthly_combined[revenue_eur], fpna_monthly_combined[month], $A32, fpna_monthly_combined[Scenario], "Budget")</f>
        <v>4539130</v>
      </c>
      <c r="D32" s="23">
        <f>SUMIFS(fpna_monthly_combined[revenue_eur], fpna_monthly_combined[month], $A32, fpna_monthly_combined[Scenario], "Forecast")</f>
        <v>4201265</v>
      </c>
      <c r="E32" s="23">
        <f>SUMIFS(fpna_monthly_combined[ebitda_eur], fpna_monthly_combined[month], $A32, fpna_monthly_combined[Scenario], "Actual")</f>
        <v>1170387</v>
      </c>
      <c r="F32" s="23">
        <f>SUMIFS(fpna_monthly_combined[ebitda_eur], fpna_monthly_combined[month], $A32, fpna_monthly_combined[Scenario], "Budget")</f>
        <v>2020341</v>
      </c>
      <c r="G32" s="23">
        <f>SUMIFS(fpna_monthly_combined[ebitda_eur], fpna_monthly_combined[month], $A32, fpna_monthly_combined[Scenario], "Forecast")</f>
        <v>1487792</v>
      </c>
      <c r="H32" s="23">
        <f t="shared" si="8"/>
        <v>-566248</v>
      </c>
      <c r="I32" s="23">
        <f t="shared" si="9"/>
        <v>-849954</v>
      </c>
    </row>
    <row r="33" spans="1:9" x14ac:dyDescent="0.35">
      <c r="A33" s="3">
        <v>45839</v>
      </c>
      <c r="B33" s="23">
        <f>SUMIFS(fpna_monthly_combined[revenue_eur], fpna_monthly_combined[month], $A33, fpna_monthly_combined[Scenario], "Actual")</f>
        <v>4165986</v>
      </c>
      <c r="C33" s="23">
        <f>SUMIFS(fpna_monthly_combined[revenue_eur], fpna_monthly_combined[month], $A33, fpna_monthly_combined[Scenario], "Budget")</f>
        <v>4542307</v>
      </c>
      <c r="D33" s="23">
        <f>SUMIFS(fpna_monthly_combined[revenue_eur], fpna_monthly_combined[month], $A33, fpna_monthly_combined[Scenario], "Forecast")</f>
        <v>4207456</v>
      </c>
      <c r="E33" s="23">
        <f>SUMIFS(fpna_monthly_combined[ebitda_eur], fpna_monthly_combined[month], $A33, fpna_monthly_combined[Scenario], "Actual")</f>
        <v>1336141</v>
      </c>
      <c r="F33" s="23">
        <f>SUMIFS(fpna_monthly_combined[ebitda_eur], fpna_monthly_combined[month], $A33, fpna_monthly_combined[Scenario], "Budget")</f>
        <v>1991778</v>
      </c>
      <c r="G33" s="23">
        <f>SUMIFS(fpna_monthly_combined[ebitda_eur], fpna_monthly_combined[month], $A33, fpna_monthly_combined[Scenario], "Forecast")</f>
        <v>1458536</v>
      </c>
      <c r="H33" s="23">
        <f t="shared" si="8"/>
        <v>-376321</v>
      </c>
      <c r="I33" s="23">
        <f t="shared" si="9"/>
        <v>-655637</v>
      </c>
    </row>
    <row r="34" spans="1:9" x14ac:dyDescent="0.35">
      <c r="A34" s="3">
        <v>45870</v>
      </c>
      <c r="B34" s="23">
        <f>SUMIFS(fpna_monthly_combined[revenue_eur], fpna_monthly_combined[month], $A34, fpna_monthly_combined[Scenario], "Actual")</f>
        <v>4127765</v>
      </c>
      <c r="C34" s="23">
        <f>SUMIFS(fpna_monthly_combined[revenue_eur], fpna_monthly_combined[month], $A34, fpna_monthly_combined[Scenario], "Budget")</f>
        <v>4826686</v>
      </c>
      <c r="D34" s="23">
        <f>SUMIFS(fpna_monthly_combined[revenue_eur], fpna_monthly_combined[month], $A34, fpna_monthly_combined[Scenario], "Forecast")</f>
        <v>4464088</v>
      </c>
      <c r="E34" s="23">
        <f>SUMIFS(fpna_monthly_combined[ebitda_eur], fpna_monthly_combined[month], $A34, fpna_monthly_combined[Scenario], "Actual")</f>
        <v>1253877</v>
      </c>
      <c r="F34" s="23">
        <f>SUMIFS(fpna_monthly_combined[ebitda_eur], fpna_monthly_combined[month], $A34, fpna_monthly_combined[Scenario], "Budget")</f>
        <v>2241972</v>
      </c>
      <c r="G34" s="23">
        <f>SUMIFS(fpna_monthly_combined[ebitda_eur], fpna_monthly_combined[month], $A34, fpna_monthly_combined[Scenario], "Forecast")</f>
        <v>1677316</v>
      </c>
      <c r="H34" s="23">
        <f t="shared" si="8"/>
        <v>-698921</v>
      </c>
      <c r="I34" s="23">
        <f t="shared" si="9"/>
        <v>-988095</v>
      </c>
    </row>
    <row r="35" spans="1:9" x14ac:dyDescent="0.35">
      <c r="A35" s="3">
        <v>45901</v>
      </c>
      <c r="B35" s="23">
        <f>SUMIFS(fpna_monthly_combined[revenue_eur], fpna_monthly_combined[month], $A35, fpna_monthly_combined[Scenario], "Actual")</f>
        <v>4879266</v>
      </c>
      <c r="C35" s="23">
        <f>SUMIFS(fpna_monthly_combined[revenue_eur], fpna_monthly_combined[month], $A35, fpna_monthly_combined[Scenario], "Budget")</f>
        <v>5358944</v>
      </c>
      <c r="D35" s="23">
        <f>SUMIFS(fpna_monthly_combined[revenue_eur], fpna_monthly_combined[month], $A35, fpna_monthly_combined[Scenario], "Forecast")</f>
        <v>4942570</v>
      </c>
      <c r="E35" s="23">
        <f>SUMIFS(fpna_monthly_combined[ebitda_eur], fpna_monthly_combined[month], $A35, fpna_monthly_combined[Scenario], "Actual")</f>
        <v>1940431</v>
      </c>
      <c r="F35" s="23">
        <f>SUMIFS(fpna_monthly_combined[ebitda_eur], fpna_monthly_combined[month], $A35, fpna_monthly_combined[Scenario], "Budget")</f>
        <v>2739413</v>
      </c>
      <c r="G35" s="23">
        <f>SUMIFS(fpna_monthly_combined[ebitda_eur], fpna_monthly_combined[month], $A35, fpna_monthly_combined[Scenario], "Forecast")</f>
        <v>2117661</v>
      </c>
      <c r="H35" s="23">
        <f t="shared" si="8"/>
        <v>-479678</v>
      </c>
      <c r="I35" s="23">
        <f t="shared" si="9"/>
        <v>-798982</v>
      </c>
    </row>
    <row r="36" spans="1:9" x14ac:dyDescent="0.35">
      <c r="A36" s="3">
        <v>45931</v>
      </c>
      <c r="B36" s="23">
        <f>SUMIFS(fpna_monthly_combined[revenue_eur], fpna_monthly_combined[month], $A36, fpna_monthly_combined[Scenario], "Actual")</f>
        <v>5586206</v>
      </c>
      <c r="C36" s="23">
        <f>SUMIFS(fpna_monthly_combined[revenue_eur], fpna_monthly_combined[month], $A36, fpna_monthly_combined[Scenario], "Budget")</f>
        <v>6302300</v>
      </c>
      <c r="D36" s="23">
        <f>SUMIFS(fpna_monthly_combined[revenue_eur], fpna_monthly_combined[month], $A36, fpna_monthly_combined[Scenario], "Forecast")</f>
        <v>5786098</v>
      </c>
      <c r="E36" s="23">
        <f>SUMIFS(fpna_monthly_combined[ebitda_eur], fpna_monthly_combined[month], $A36, fpna_monthly_combined[Scenario], "Actual")</f>
        <v>2463792</v>
      </c>
      <c r="F36" s="23">
        <f>SUMIFS(fpna_monthly_combined[ebitda_eur], fpna_monthly_combined[month], $A36, fpna_monthly_combined[Scenario], "Budget")</f>
        <v>3477180</v>
      </c>
      <c r="G36" s="23">
        <f>SUMIFS(fpna_monthly_combined[ebitda_eur], fpna_monthly_combined[month], $A36, fpna_monthly_combined[Scenario], "Forecast")</f>
        <v>2739918</v>
      </c>
      <c r="H36" s="23">
        <f t="shared" si="8"/>
        <v>-716094</v>
      </c>
      <c r="I36" s="23">
        <f t="shared" si="9"/>
        <v>-1013388</v>
      </c>
    </row>
    <row r="37" spans="1:9" x14ac:dyDescent="0.35">
      <c r="A37" s="3">
        <v>45962</v>
      </c>
      <c r="B37" s="23">
        <f>SUMIFS(fpna_monthly_combined[revenue_eur], fpna_monthly_combined[month], $A37, fpna_monthly_combined[Scenario], "Actual")</f>
        <v>5794661</v>
      </c>
      <c r="C37" s="23">
        <f>SUMIFS(fpna_monthly_combined[revenue_eur], fpna_monthly_combined[month], $A37, fpna_monthly_combined[Scenario], "Budget")</f>
        <v>7053556</v>
      </c>
      <c r="D37" s="23">
        <f>SUMIFS(fpna_monthly_combined[revenue_eur], fpna_monthly_combined[month], $A37, fpna_monthly_combined[Scenario], "Forecast")</f>
        <v>6476848</v>
      </c>
      <c r="E37" s="23">
        <f>SUMIFS(fpna_monthly_combined[ebitda_eur], fpna_monthly_combined[month], $A37, fpna_monthly_combined[Scenario], "Actual")</f>
        <v>2580557</v>
      </c>
      <c r="F37" s="23">
        <f>SUMIFS(fpna_monthly_combined[ebitda_eur], fpna_monthly_combined[month], $A37, fpna_monthly_combined[Scenario], "Budget")</f>
        <v>4299359</v>
      </c>
      <c r="G37" s="23">
        <f>SUMIFS(fpna_monthly_combined[ebitda_eur], fpna_monthly_combined[month], $A37, fpna_monthly_combined[Scenario], "Forecast")</f>
        <v>3505275</v>
      </c>
      <c r="H37" s="23">
        <f t="shared" si="8"/>
        <v>-1258895</v>
      </c>
      <c r="I37" s="23">
        <f t="shared" si="9"/>
        <v>-1718802</v>
      </c>
    </row>
    <row r="38" spans="1:9" x14ac:dyDescent="0.35">
      <c r="A38" s="3">
        <v>45992</v>
      </c>
      <c r="B38" s="23">
        <f>SUMIFS(fpna_monthly_combined[revenue_eur], fpna_monthly_combined[month], $A38, fpna_monthly_combined[Scenario], "Actual")</f>
        <v>7362190</v>
      </c>
      <c r="C38" s="23">
        <f>SUMIFS(fpna_monthly_combined[revenue_eur], fpna_monthly_combined[month], $A38, fpna_monthly_combined[Scenario], "Budget")</f>
        <v>8116782</v>
      </c>
      <c r="D38" s="23">
        <f>SUMIFS(fpna_monthly_combined[revenue_eur], fpna_monthly_combined[month], $A38, fpna_monthly_combined[Scenario], "Forecast")</f>
        <v>7446401</v>
      </c>
      <c r="E38" s="23">
        <f>SUMIFS(fpna_monthly_combined[ebitda_eur], fpna_monthly_combined[month], $A38, fpna_monthly_combined[Scenario], "Actual")</f>
        <v>4219638</v>
      </c>
      <c r="F38" s="23">
        <f>SUMIFS(fpna_monthly_combined[ebitda_eur], fpna_monthly_combined[month], $A38, fpna_monthly_combined[Scenario], "Budget")</f>
        <v>5275795</v>
      </c>
      <c r="G38" s="23">
        <f>SUMIFS(fpna_monthly_combined[ebitda_eur], fpna_monthly_combined[month], $A38, fpna_monthly_combined[Scenario], "Forecast")</f>
        <v>4380315</v>
      </c>
      <c r="H38" s="23">
        <f t="shared" si="8"/>
        <v>-754592</v>
      </c>
      <c r="I38" s="23">
        <f t="shared" si="9"/>
        <v>-1056157</v>
      </c>
    </row>
    <row r="39" spans="1:9" x14ac:dyDescent="0.35">
      <c r="A39" s="3">
        <v>46023</v>
      </c>
      <c r="B39" s="23">
        <f>SUMIFS(fpna_monthly_combined[revenue_eur], fpna_monthly_combined[month], $A39, fpna_monthly_combined[Scenario], "Actual")</f>
        <v>7330978</v>
      </c>
      <c r="C39" s="23">
        <f>SUMIFS(fpna_monthly_combined[revenue_eur], fpna_monthly_combined[month], $A39, fpna_monthly_combined[Scenario], "Budget")</f>
        <v>7690596</v>
      </c>
      <c r="D39" s="23">
        <f>SUMIFS(fpna_monthly_combined[revenue_eur], fpna_monthly_combined[month], $A39, fpna_monthly_combined[Scenario], "Forecast")</f>
        <v>7366174</v>
      </c>
      <c r="E39" s="23">
        <f>SUMIFS(fpna_monthly_combined[ebitda_eur], fpna_monthly_combined[month], $A39, fpna_monthly_combined[Scenario], "Actual")</f>
        <v>4221537</v>
      </c>
      <c r="F39" s="23">
        <f>SUMIFS(fpna_monthly_combined[ebitda_eur], fpna_monthly_combined[month], $A39, fpna_monthly_combined[Scenario], "Budget")</f>
        <v>4838970</v>
      </c>
      <c r="G39" s="23">
        <f>SUMIFS(fpna_monthly_combined[ebitda_eur], fpna_monthly_combined[month], $A39, fpna_monthly_combined[Scenario], "Forecast")</f>
        <v>4326375</v>
      </c>
      <c r="H39" s="23">
        <f t="shared" si="8"/>
        <v>-359618</v>
      </c>
      <c r="I39" s="23">
        <f t="shared" si="9"/>
        <v>-617433</v>
      </c>
    </row>
    <row r="40" spans="1:9" x14ac:dyDescent="0.35">
      <c r="A40" s="3">
        <v>46054</v>
      </c>
      <c r="B40" s="23">
        <f>SUMIFS(fpna_monthly_combined[revenue_eur], fpna_monthly_combined[month], $A40, fpna_monthly_combined[Scenario], "Actual")</f>
        <v>6206148</v>
      </c>
      <c r="C40" s="23">
        <f>SUMIFS(fpna_monthly_combined[revenue_eur], fpna_monthly_combined[month], $A40, fpna_monthly_combined[Scenario], "Budget")</f>
        <v>6665954</v>
      </c>
      <c r="D40" s="23">
        <f>SUMIFS(fpna_monthly_combined[revenue_eur], fpna_monthly_combined[month], $A40, fpna_monthly_combined[Scenario], "Forecast")</f>
        <v>6429149</v>
      </c>
      <c r="E40" s="23">
        <f>SUMIFS(fpna_monthly_combined[ebitda_eur], fpna_monthly_combined[month], $A40, fpna_monthly_combined[Scenario], "Actual")</f>
        <v>3046499</v>
      </c>
      <c r="F40" s="23">
        <f>SUMIFS(fpna_monthly_combined[ebitda_eur], fpna_monthly_combined[month], $A40, fpna_monthly_combined[Scenario], "Budget")</f>
        <v>3910622</v>
      </c>
      <c r="G40" s="23">
        <f>SUMIFS(fpna_monthly_combined[ebitda_eur], fpna_monthly_combined[month], $A40, fpna_monthly_combined[Scenario], "Forecast")</f>
        <v>3492633</v>
      </c>
      <c r="H40" s="23">
        <f t="shared" si="8"/>
        <v>-459806</v>
      </c>
      <c r="I40" s="23">
        <f t="shared" si="9"/>
        <v>-864123</v>
      </c>
    </row>
    <row r="41" spans="1:9" x14ac:dyDescent="0.35">
      <c r="A41" s="3">
        <v>46082</v>
      </c>
      <c r="B41" s="23">
        <f>SUMIFS(fpna_monthly_combined[revenue_eur], fpna_monthly_combined[month], $A41, fpna_monthly_combined[Scenario], "Actual")</f>
        <v>6484996</v>
      </c>
      <c r="C41" s="23">
        <f>SUMIFS(fpna_monthly_combined[revenue_eur], fpna_monthly_combined[month], $A41, fpna_monthly_combined[Scenario], "Budget")</f>
        <v>6747467</v>
      </c>
      <c r="D41" s="23">
        <f>SUMIFS(fpna_monthly_combined[revenue_eur], fpna_monthly_combined[month], $A41, fpna_monthly_combined[Scenario], "Forecast")</f>
        <v>6494290</v>
      </c>
      <c r="E41" s="23">
        <f>SUMIFS(fpna_monthly_combined[ebitda_eur], fpna_monthly_combined[month], $A41, fpna_monthly_combined[Scenario], "Actual")</f>
        <v>3400566</v>
      </c>
      <c r="F41" s="23">
        <f>SUMIFS(fpna_monthly_combined[ebitda_eur], fpna_monthly_combined[month], $A41, fpna_monthly_combined[Scenario], "Budget")</f>
        <v>3909073</v>
      </c>
      <c r="G41" s="23">
        <f>SUMIFS(fpna_monthly_combined[ebitda_eur], fpna_monthly_combined[month], $A41, fpna_monthly_combined[Scenario], "Forecast")</f>
        <v>3468265</v>
      </c>
      <c r="H41" s="23">
        <f t="shared" si="8"/>
        <v>-262471</v>
      </c>
      <c r="I41" s="23">
        <f t="shared" si="9"/>
        <v>-508507</v>
      </c>
    </row>
    <row r="42" spans="1:9" x14ac:dyDescent="0.35">
      <c r="A42" s="3">
        <v>46113</v>
      </c>
      <c r="B42" s="23">
        <f>SUMIFS(fpna_monthly_combined[revenue_eur], fpna_monthly_combined[month], $A42, fpna_monthly_combined[Scenario], "Actual")</f>
        <v>5671457</v>
      </c>
      <c r="C42" s="23">
        <f>SUMIFS(fpna_monthly_combined[revenue_eur], fpna_monthly_combined[month], $A42, fpna_monthly_combined[Scenario], "Budget")</f>
        <v>5806540</v>
      </c>
      <c r="D42" s="23">
        <f>SUMIFS(fpna_monthly_combined[revenue_eur], fpna_monthly_combined[month], $A42, fpna_monthly_combined[Scenario], "Forecast")</f>
        <v>5627886</v>
      </c>
      <c r="E42" s="23">
        <f>SUMIFS(fpna_monthly_combined[ebitda_eur], fpna_monthly_combined[month], $A42, fpna_monthly_combined[Scenario], "Actual")</f>
        <v>2490900</v>
      </c>
      <c r="F42" s="23">
        <f>SUMIFS(fpna_monthly_combined[ebitda_eur], fpna_monthly_combined[month], $A42, fpna_monthly_combined[Scenario], "Budget")</f>
        <v>2917736</v>
      </c>
      <c r="G42" s="23">
        <f>SUMIFS(fpna_monthly_combined[ebitda_eur], fpna_monthly_combined[month], $A42, fpna_monthly_combined[Scenario], "Forecast")</f>
        <v>2548439</v>
      </c>
      <c r="H42" s="23">
        <f t="shared" si="8"/>
        <v>-135083</v>
      </c>
      <c r="I42" s="23">
        <f t="shared" si="9"/>
        <v>-426836</v>
      </c>
    </row>
    <row r="43" spans="1:9" x14ac:dyDescent="0.35">
      <c r="A43" s="3">
        <v>46143</v>
      </c>
      <c r="B43" s="23">
        <f>SUMIFS(fpna_monthly_combined[revenue_eur], fpna_monthly_combined[month], $A43, fpna_monthly_combined[Scenario], "Actual")</f>
        <v>5311856</v>
      </c>
      <c r="C43" s="23">
        <f>SUMIFS(fpna_monthly_combined[revenue_eur], fpna_monthly_combined[month], $A43, fpna_monthly_combined[Scenario], "Budget")</f>
        <v>5466524</v>
      </c>
      <c r="D43" s="23">
        <f>SUMIFS(fpna_monthly_combined[revenue_eur], fpna_monthly_combined[month], $A43, fpna_monthly_combined[Scenario], "Forecast")</f>
        <v>5319610</v>
      </c>
      <c r="E43" s="23">
        <f>SUMIFS(fpna_monthly_combined[ebitda_eur], fpna_monthly_combined[month], $A43, fpna_monthly_combined[Scenario], "Actual")</f>
        <v>2245315</v>
      </c>
      <c r="F43" s="23">
        <f>SUMIFS(fpna_monthly_combined[ebitda_eur], fpna_monthly_combined[month], $A43, fpna_monthly_combined[Scenario], "Budget")</f>
        <v>2683050</v>
      </c>
      <c r="G43" s="23">
        <f>SUMIFS(fpna_monthly_combined[ebitda_eur], fpna_monthly_combined[month], $A43, fpna_monthly_combined[Scenario], "Forecast")</f>
        <v>2351975</v>
      </c>
      <c r="H43" s="23">
        <f t="shared" si="8"/>
        <v>-154668</v>
      </c>
      <c r="I43" s="23">
        <f t="shared" si="9"/>
        <v>-437735</v>
      </c>
    </row>
    <row r="44" spans="1:9" x14ac:dyDescent="0.35">
      <c r="A44" s="3">
        <v>46174</v>
      </c>
      <c r="B44" s="23">
        <f>SUMIFS(fpna_monthly_combined[revenue_eur], fpna_monthly_combined[month], $A44, fpna_monthly_combined[Scenario], "Actual")</f>
        <v>4922463</v>
      </c>
      <c r="C44" s="23">
        <f>SUMIFS(fpna_monthly_combined[revenue_eur], fpna_monthly_combined[month], $A44, fpna_monthly_combined[Scenario], "Budget")</f>
        <v>4999203</v>
      </c>
      <c r="D44" s="23">
        <f>SUMIFS(fpna_monthly_combined[revenue_eur], fpna_monthly_combined[month], $A44, fpna_monthly_combined[Scenario], "Forecast")</f>
        <v>4889100</v>
      </c>
      <c r="E44" s="23">
        <f>SUMIFS(fpna_monthly_combined[ebitda_eur], fpna_monthly_combined[month], $A44, fpna_monthly_combined[Scenario], "Actual")</f>
        <v>1901030</v>
      </c>
      <c r="F44" s="23">
        <f>SUMIFS(fpna_monthly_combined[ebitda_eur], fpna_monthly_combined[month], $A44, fpna_monthly_combined[Scenario], "Budget")</f>
        <v>2248938</v>
      </c>
      <c r="G44" s="23">
        <f>SUMIFS(fpna_monthly_combined[ebitda_eur], fpna_monthly_combined[month], $A44, fpna_monthly_combined[Scenario], "Forecast")</f>
        <v>1956959</v>
      </c>
      <c r="H44" s="23">
        <f t="shared" si="8"/>
        <v>-76740</v>
      </c>
      <c r="I44" s="23">
        <f t="shared" si="9"/>
        <v>-347908</v>
      </c>
    </row>
    <row r="45" spans="1:9" x14ac:dyDescent="0.35">
      <c r="A45" s="3">
        <v>46204</v>
      </c>
      <c r="B45" s="23">
        <f>SUMIFS(fpna_monthly_combined[revenue_eur], fpna_monthly_combined[month], $A45, fpna_monthly_combined[Scenario], "Actual")</f>
        <v>4921035</v>
      </c>
      <c r="C45" s="23">
        <f>SUMIFS(fpna_monthly_combined[revenue_eur], fpna_monthly_combined[month], $A45, fpna_monthly_combined[Scenario], "Budget")</f>
        <v>5020232</v>
      </c>
      <c r="D45" s="23">
        <f>SUMIFS(fpna_monthly_combined[revenue_eur], fpna_monthly_combined[month], $A45, fpna_monthly_combined[Scenario], "Forecast")</f>
        <v>4912588</v>
      </c>
      <c r="E45" s="23">
        <f>SUMIFS(fpna_monthly_combined[ebitda_eur], fpna_monthly_combined[month], $A45, fpna_monthly_combined[Scenario], "Actual")</f>
        <v>1883726</v>
      </c>
      <c r="F45" s="23">
        <f>SUMIFS(fpna_monthly_combined[ebitda_eur], fpna_monthly_combined[month], $A45, fpna_monthly_combined[Scenario], "Budget")</f>
        <v>2231179</v>
      </c>
      <c r="G45" s="23">
        <f>SUMIFS(fpna_monthly_combined[ebitda_eur], fpna_monthly_combined[month], $A45, fpna_monthly_combined[Scenario], "Forecast")</f>
        <v>1938426</v>
      </c>
      <c r="H45" s="23">
        <f t="shared" si="8"/>
        <v>-99197</v>
      </c>
      <c r="I45" s="23">
        <f t="shared" si="9"/>
        <v>-347453</v>
      </c>
    </row>
    <row r="46" spans="1:9" x14ac:dyDescent="0.35">
      <c r="A46" s="3">
        <v>46235</v>
      </c>
      <c r="B46" s="23">
        <f>SUMIFS(fpna_monthly_combined[revenue_eur], fpna_monthly_combined[month], $A46, fpna_monthly_combined[Scenario], "Actual")</f>
        <v>5199587</v>
      </c>
      <c r="C46" s="23">
        <f>SUMIFS(fpna_monthly_combined[revenue_eur], fpna_monthly_combined[month], $A46, fpna_monthly_combined[Scenario], "Budget")</f>
        <v>5300572</v>
      </c>
      <c r="D46" s="23">
        <f>SUMIFS(fpna_monthly_combined[revenue_eur], fpna_monthly_combined[month], $A46, fpna_monthly_combined[Scenario], "Forecast")</f>
        <v>5226723</v>
      </c>
      <c r="E46" s="23">
        <f>SUMIFS(fpna_monthly_combined[ebitda_eur], fpna_monthly_combined[month], $A46, fpna_monthly_combined[Scenario], "Actual")</f>
        <v>2117389</v>
      </c>
      <c r="F46" s="23">
        <f>SUMIFS(fpna_monthly_combined[ebitda_eur], fpna_monthly_combined[month], $A46, fpna_monthly_combined[Scenario], "Budget")</f>
        <v>2477331</v>
      </c>
      <c r="G46" s="23">
        <f>SUMIFS(fpna_monthly_combined[ebitda_eur], fpna_monthly_combined[month], $A46, fpna_monthly_combined[Scenario], "Forecast")</f>
        <v>2215471</v>
      </c>
      <c r="H46" s="23">
        <f t="shared" si="8"/>
        <v>-100985</v>
      </c>
      <c r="I46" s="23">
        <f t="shared" si="9"/>
        <v>-359942</v>
      </c>
    </row>
    <row r="47" spans="1:9" x14ac:dyDescent="0.35">
      <c r="A47" s="3">
        <v>46266</v>
      </c>
      <c r="B47" s="23">
        <f>SUMIFS(fpna_monthly_combined[revenue_eur], fpna_monthly_combined[month], $A47, fpna_monthly_combined[Scenario], "Actual")</f>
        <v>5783056</v>
      </c>
      <c r="C47" s="23">
        <f>SUMIFS(fpna_monthly_combined[revenue_eur], fpna_monthly_combined[month], $A47, fpna_monthly_combined[Scenario], "Budget")</f>
        <v>5810473</v>
      </c>
      <c r="D47" s="23">
        <f>SUMIFS(fpna_monthly_combined[revenue_eur], fpna_monthly_combined[month], $A47, fpna_monthly_combined[Scenario], "Forecast")</f>
        <v>5701837</v>
      </c>
      <c r="E47" s="23">
        <f>SUMIFS(fpna_monthly_combined[ebitda_eur], fpna_monthly_combined[month], $A47, fpna_monthly_combined[Scenario], "Actual")</f>
        <v>2648765</v>
      </c>
      <c r="F47" s="23">
        <f>SUMIFS(fpna_monthly_combined[ebitda_eur], fpna_monthly_combined[month], $A47, fpna_monthly_combined[Scenario], "Budget")</f>
        <v>2959468</v>
      </c>
      <c r="G47" s="23">
        <f>SUMIFS(fpna_monthly_combined[ebitda_eur], fpna_monthly_combined[month], $A47, fpna_monthly_combined[Scenario], "Forecast")</f>
        <v>2660477</v>
      </c>
      <c r="H47" s="23">
        <f t="shared" si="8"/>
        <v>-27417</v>
      </c>
      <c r="I47" s="23">
        <f t="shared" si="9"/>
        <v>-310703</v>
      </c>
    </row>
    <row r="48" spans="1:9" x14ac:dyDescent="0.35">
      <c r="A48" s="3">
        <v>46296</v>
      </c>
      <c r="B48" s="23">
        <f>SUMIFS(fpna_monthly_combined[revenue_eur], fpna_monthly_combined[month], $A48, fpna_monthly_combined[Scenario], "Actual")</f>
        <v>6551792</v>
      </c>
      <c r="C48" s="23">
        <f>SUMIFS(fpna_monthly_combined[revenue_eur], fpna_monthly_combined[month], $A48, fpna_monthly_combined[Scenario], "Budget")</f>
        <v>6736403</v>
      </c>
      <c r="D48" s="23">
        <f>SUMIFS(fpna_monthly_combined[revenue_eur], fpna_monthly_combined[month], $A48, fpna_monthly_combined[Scenario], "Forecast")</f>
        <v>6561174</v>
      </c>
      <c r="E48" s="23">
        <f>SUMIFS(fpna_monthly_combined[ebitda_eur], fpna_monthly_combined[month], $A48, fpna_monthly_combined[Scenario], "Actual")</f>
        <v>3077943</v>
      </c>
      <c r="F48" s="23">
        <f>SUMIFS(fpna_monthly_combined[ebitda_eur], fpna_monthly_combined[month], $A48, fpna_monthly_combined[Scenario], "Budget")</f>
        <v>3672758</v>
      </c>
      <c r="G48" s="23">
        <f>SUMIFS(fpna_monthly_combined[ebitda_eur], fpna_monthly_combined[month], $A48, fpna_monthly_combined[Scenario], "Forecast")</f>
        <v>3292040</v>
      </c>
      <c r="H48" s="23">
        <f t="shared" si="8"/>
        <v>-184611</v>
      </c>
      <c r="I48" s="23">
        <f t="shared" si="9"/>
        <v>-594815</v>
      </c>
    </row>
    <row r="49" spans="1:9" x14ac:dyDescent="0.35">
      <c r="A49" s="3">
        <v>46327</v>
      </c>
      <c r="B49" s="23">
        <f>SUMIFS(fpna_monthly_combined[revenue_eur], fpna_monthly_combined[month], $A49, fpna_monthly_combined[Scenario], "Actual")</f>
        <v>7557749</v>
      </c>
      <c r="C49" s="23">
        <f>SUMIFS(fpna_monthly_combined[revenue_eur], fpna_monthly_combined[month], $A49, fpna_monthly_combined[Scenario], "Budget")</f>
        <v>7485077</v>
      </c>
      <c r="D49" s="23">
        <f>SUMIFS(fpna_monthly_combined[revenue_eur], fpna_monthly_combined[month], $A49, fpna_monthly_combined[Scenario], "Forecast")</f>
        <v>7300652</v>
      </c>
      <c r="E49" s="23">
        <f>SUMIFS(fpna_monthly_combined[ebitda_eur], fpna_monthly_combined[month], $A49, fpna_monthly_combined[Scenario], "Actual")</f>
        <v>4288897</v>
      </c>
      <c r="F49" s="23">
        <f>SUMIFS(fpna_monthly_combined[ebitda_eur], fpna_monthly_combined[month], $A49, fpna_monthly_combined[Scenario], "Budget")</f>
        <v>4500443</v>
      </c>
      <c r="G49" s="23">
        <f>SUMIFS(fpna_monthly_combined[ebitda_eur], fpna_monthly_combined[month], $A49, fpna_monthly_combined[Scenario], "Forecast")</f>
        <v>4115380</v>
      </c>
      <c r="H49" s="23">
        <f t="shared" si="8"/>
        <v>72672</v>
      </c>
      <c r="I49" s="23">
        <f t="shared" si="9"/>
        <v>-211546</v>
      </c>
    </row>
    <row r="50" spans="1:9" x14ac:dyDescent="0.35">
      <c r="A50" s="3">
        <v>46357</v>
      </c>
      <c r="B50" s="23">
        <f>SUMIFS(fpna_monthly_combined[revenue_eur], fpna_monthly_combined[month], $A50, fpna_monthly_combined[Scenario], "Actual")</f>
        <v>8176669</v>
      </c>
      <c r="C50" s="23">
        <f>SUMIFS(fpna_monthly_combined[revenue_eur], fpna_monthly_combined[month], $A50, fpna_monthly_combined[Scenario], "Budget")</f>
        <v>8495859</v>
      </c>
      <c r="D50" s="23">
        <f>SUMIFS(fpna_monthly_combined[revenue_eur], fpna_monthly_combined[month], $A50, fpna_monthly_combined[Scenario], "Forecast")</f>
        <v>8250976</v>
      </c>
      <c r="E50" s="23">
        <f>SUMIFS(fpna_monthly_combined[ebitda_eur], fpna_monthly_combined[month], $A50, fpna_monthly_combined[Scenario], "Actual")</f>
        <v>4821136</v>
      </c>
      <c r="F50" s="23">
        <f>SUMIFS(fpna_monthly_combined[ebitda_eur], fpna_monthly_combined[month], $A50, fpna_monthly_combined[Scenario], "Budget")</f>
        <v>5435631</v>
      </c>
      <c r="G50" s="23">
        <f>SUMIFS(fpna_monthly_combined[ebitda_eur], fpna_monthly_combined[month], $A50, fpna_monthly_combined[Scenario], "Forecast")</f>
        <v>4984624</v>
      </c>
      <c r="H50" s="23">
        <f t="shared" si="8"/>
        <v>-319190</v>
      </c>
      <c r="I50" s="23">
        <f t="shared" si="9"/>
        <v>-614495</v>
      </c>
    </row>
  </sheetData>
  <conditionalFormatting sqref="B27:I50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scale="42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23373-F046-498F-9512-1F2619D9D729}">
  <sheetPr codeName="Sheet8"/>
  <dimension ref="A1:D13"/>
  <sheetViews>
    <sheetView showGridLines="0" zoomScaleNormal="100" workbookViewId="0">
      <selection activeCell="K7" sqref="K7"/>
    </sheetView>
  </sheetViews>
  <sheetFormatPr defaultRowHeight="14.5" x14ac:dyDescent="0.35"/>
  <cols>
    <col min="1" max="1" width="20.36328125" bestFit="1" customWidth="1"/>
    <col min="2" max="2" width="13.90625" bestFit="1" customWidth="1"/>
  </cols>
  <sheetData>
    <row r="1" spans="1:4" x14ac:dyDescent="0.35">
      <c r="A1" t="s">
        <v>141</v>
      </c>
    </row>
    <row r="3" spans="1:4" x14ac:dyDescent="0.35">
      <c r="A3" t="s">
        <v>142</v>
      </c>
      <c r="B3" t="s">
        <v>143</v>
      </c>
    </row>
    <row r="4" spans="1:4" x14ac:dyDescent="0.35">
      <c r="A4" t="s">
        <v>112</v>
      </c>
      <c r="B4" s="15">
        <f>'06_Calculations'!C7</f>
        <v>81241865</v>
      </c>
      <c r="D4" s="22"/>
    </row>
    <row r="5" spans="1:4" x14ac:dyDescent="0.35">
      <c r="A5" t="s">
        <v>45</v>
      </c>
      <c r="B5" s="15">
        <f>SUMIFS(variance_drivers[variance_eur],variance_drivers[variance_type],"Price")</f>
        <v>-6250514</v>
      </c>
      <c r="D5" s="22"/>
    </row>
    <row r="6" spans="1:4" x14ac:dyDescent="0.35">
      <c r="A6" t="s">
        <v>48</v>
      </c>
      <c r="B6" s="15">
        <f>SUMIFS(variance_drivers[variance_eur],variance_drivers[variance_type],"Volume")</f>
        <v>-1037482</v>
      </c>
      <c r="D6" s="22"/>
    </row>
    <row r="7" spans="1:4" x14ac:dyDescent="0.35">
      <c r="A7" t="s">
        <v>51</v>
      </c>
      <c r="B7" s="15">
        <f>SUMIFS(variance_drivers[variance_eur],variance_drivers[variance_type],"Downtime")</f>
        <v>-1344047</v>
      </c>
      <c r="D7" s="22"/>
    </row>
    <row r="8" spans="1:4" x14ac:dyDescent="0.35">
      <c r="A8" t="s">
        <v>54</v>
      </c>
      <c r="B8" s="15">
        <f>SUMIFS(variance_drivers[variance_eur],variance_drivers[variance_type],"Ramp-up")</f>
        <v>-1898367</v>
      </c>
      <c r="D8" s="22"/>
    </row>
    <row r="9" spans="1:4" x14ac:dyDescent="0.35">
      <c r="A9" t="s">
        <v>57</v>
      </c>
      <c r="B9" s="15">
        <f>SUMIFS(variance_drivers[variance_eur],variance_drivers[variance_type],"Opex")</f>
        <v>-7329196</v>
      </c>
      <c r="D9" s="22"/>
    </row>
    <row r="10" spans="1:4" x14ac:dyDescent="0.35">
      <c r="A10" t="s">
        <v>60</v>
      </c>
      <c r="B10" s="15">
        <f>SUMIFS(variance_drivers[variance_eur],variance_drivers[variance_type],"Timing/Mix")</f>
        <v>-386689</v>
      </c>
    </row>
    <row r="11" spans="1:4" x14ac:dyDescent="0.35">
      <c r="A11" t="s">
        <v>113</v>
      </c>
      <c r="B11" s="15">
        <f>'06_Calculations'!B7</f>
        <v>62995562</v>
      </c>
    </row>
    <row r="12" spans="1:4" x14ac:dyDescent="0.35">
      <c r="A12" t="s">
        <v>144</v>
      </c>
      <c r="B12" s="16">
        <f>SUM(B5:B10)</f>
        <v>-18246295</v>
      </c>
    </row>
    <row r="13" spans="1:4" x14ac:dyDescent="0.35">
      <c r="A13" t="s">
        <v>145</v>
      </c>
      <c r="B13" s="16">
        <f>B11-(B4+B12)</f>
        <v>-8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FBED7-35FA-4300-ACC1-49189F9B40CF}">
  <sheetPr codeName="Sheet9"/>
  <dimension ref="A1:O20"/>
  <sheetViews>
    <sheetView showGridLines="0" zoomScaleNormal="100" workbookViewId="0">
      <selection activeCell="E22" sqref="E22"/>
    </sheetView>
  </sheetViews>
  <sheetFormatPr defaultRowHeight="14.5" x14ac:dyDescent="0.35"/>
  <cols>
    <col min="1" max="1" width="23" bestFit="1" customWidth="1"/>
    <col min="2" max="2" width="16.08984375" bestFit="1" customWidth="1"/>
    <col min="3" max="4" width="12.54296875" bestFit="1" customWidth="1"/>
    <col min="5" max="5" width="14.90625" bestFit="1" customWidth="1"/>
    <col min="6" max="6" width="15.08984375" bestFit="1" customWidth="1"/>
    <col min="7" max="7" width="15.81640625" bestFit="1" customWidth="1"/>
    <col min="8" max="8" width="14.08984375" bestFit="1" customWidth="1"/>
    <col min="9" max="10" width="15.08984375" bestFit="1" customWidth="1"/>
    <col min="11" max="11" width="14.08984375" bestFit="1" customWidth="1"/>
    <col min="14" max="14" width="11.81640625" bestFit="1" customWidth="1"/>
    <col min="15" max="15" width="12.08984375" bestFit="1" customWidth="1"/>
  </cols>
  <sheetData>
    <row r="1" spans="1:15" x14ac:dyDescent="0.35">
      <c r="A1" t="s">
        <v>146</v>
      </c>
    </row>
    <row r="3" spans="1:15" x14ac:dyDescent="0.35">
      <c r="A3" t="s">
        <v>155</v>
      </c>
      <c r="B3" t="s">
        <v>101</v>
      </c>
    </row>
    <row r="4" spans="1:15" x14ac:dyDescent="0.35">
      <c r="B4" s="22"/>
      <c r="D4" s="22"/>
    </row>
    <row r="5" spans="1:15" x14ac:dyDescent="0.35">
      <c r="B5" s="22"/>
      <c r="D5" s="22"/>
    </row>
    <row r="6" spans="1:15" x14ac:dyDescent="0.35">
      <c r="A6" t="s">
        <v>130</v>
      </c>
      <c r="B6" s="22" t="s">
        <v>147</v>
      </c>
      <c r="C6" t="s">
        <v>148</v>
      </c>
      <c r="D6" s="22" t="s">
        <v>149</v>
      </c>
      <c r="E6" t="s">
        <v>150</v>
      </c>
      <c r="F6" t="s">
        <v>132</v>
      </c>
      <c r="G6" t="s">
        <v>151</v>
      </c>
      <c r="H6" t="s">
        <v>152</v>
      </c>
      <c r="I6" t="s">
        <v>135</v>
      </c>
      <c r="J6" t="s">
        <v>153</v>
      </c>
      <c r="K6" t="s">
        <v>154</v>
      </c>
      <c r="M6" t="s">
        <v>163</v>
      </c>
      <c r="N6" t="s">
        <v>121</v>
      </c>
      <c r="O6" t="s">
        <v>124</v>
      </c>
    </row>
    <row r="7" spans="1:15" x14ac:dyDescent="0.35">
      <c r="A7" t="s">
        <v>10</v>
      </c>
      <c r="B7" s="19" cm="1">
        <f t="array" ref="B7">_xlfn.XLOOKUP($B$3&amp;A7,assumptions[scenario]&amp;assumptions[technology],assumptions[price_index])</f>
        <v>1.02</v>
      </c>
      <c r="C7" s="19" cm="1">
        <f t="array" ref="C7">_xlfn.XLOOKUP($B$3&amp;A7,assumptions[scenario]&amp;assumptions[technology],assumptions[volume_factor])</f>
        <v>0.98</v>
      </c>
      <c r="D7" s="18" cm="1">
        <f t="array" ref="D7">_xlfn.XLOOKUP($B$3&amp;A7,assumptions[scenario]&amp;assumptions[technology],assumptions[opex_inflation])</f>
        <v>5.5E-2</v>
      </c>
      <c r="E7" s="19" cm="1">
        <f t="array" ref="E7">_xlfn.XLOOKUP($B$3&amp;A7,assumptions[scenario]&amp;assumptions[technology],assumptions[downtime_factor])</f>
        <v>1.2</v>
      </c>
      <c r="F7" s="23">
        <f>SUMIFS(fpna_monthly_combined[revenue_eur],fpna_monthly_combined[technology],$A7,fpna_monthly_combined[Scenario],"Budget")</f>
        <v>98288490</v>
      </c>
      <c r="G7" s="23">
        <f>F7*B7*C7</f>
        <v>98249174.604000002</v>
      </c>
      <c r="H7" s="23">
        <f>G7-F7</f>
        <v>-39315.395999997854</v>
      </c>
      <c r="I7" s="23">
        <f>SUMIFS(fpna_monthly_combined[ebitda_eur],fpna_monthly_combined[technology],$A7,fpna_monthly_combined[Scenario],"Budget")</f>
        <v>68682975</v>
      </c>
      <c r="J7" s="23">
        <f>G7-(SUMIFS(fpna_monthly_combined[direct_opex_eur],fpna_monthly_combined[technology],$A7,fpna_monthly_combined[Scenario],"Budget")*(1+D7))-SUMIFS(fpna_monthly_combined[allocated_overhead_eur],fpna_monthly_combined[technology],$A7,fpna_monthly_combined[Scenario],"Budget")</f>
        <v>67213353.114000008</v>
      </c>
      <c r="K7" s="23">
        <f>J7-I7</f>
        <v>-1469621.8859999925</v>
      </c>
      <c r="M7" t="s">
        <v>164</v>
      </c>
      <c r="N7" s="22">
        <f>F12</f>
        <v>147328639</v>
      </c>
      <c r="O7" s="22">
        <f>I12</f>
        <v>81241865</v>
      </c>
    </row>
    <row r="8" spans="1:15" x14ac:dyDescent="0.35">
      <c r="A8" t="s">
        <v>15</v>
      </c>
      <c r="B8" s="19" cm="1">
        <f t="array" ref="B8">_xlfn.XLOOKUP($B$3&amp;A8,assumptions[scenario]&amp;assumptions[technology],assumptions[price_index])</f>
        <v>0.96</v>
      </c>
      <c r="C8" s="19" cm="1">
        <f t="array" ref="C8">_xlfn.XLOOKUP($B$3&amp;A8,assumptions[scenario]&amp;assumptions[technology],assumptions[volume_factor])</f>
        <v>1.02</v>
      </c>
      <c r="D8" s="18" cm="1">
        <f t="array" ref="D8">_xlfn.XLOOKUP($B$3&amp;A8,assumptions[scenario]&amp;assumptions[technology],assumptions[opex_inflation])</f>
        <v>4.4999999999999998E-2</v>
      </c>
      <c r="E8" s="19" cm="1">
        <f t="array" ref="E8">_xlfn.XLOOKUP($B$3&amp;A8,assumptions[scenario]&amp;assumptions[technology],assumptions[downtime_factor])</f>
        <v>0.7</v>
      </c>
      <c r="F8" s="23">
        <f>SUMIFS(fpna_monthly_combined[revenue_eur],fpna_monthly_combined[technology],$A8,fpna_monthly_combined[Scenario],"Budget")</f>
        <v>17827700</v>
      </c>
      <c r="G8" s="23">
        <f t="shared" ref="G8:G10" si="0">F8*B8*C8</f>
        <v>17456883.84</v>
      </c>
      <c r="H8" s="23">
        <f t="shared" ref="H8:H10" si="1">G8-F8</f>
        <v>-370816.16000000015</v>
      </c>
      <c r="I8" s="23">
        <f>SUMIFS(fpna_monthly_combined[ebitda_eur],fpna_monthly_combined[technology],$A8,fpna_monthly_combined[Scenario],"Budget")</f>
        <v>11550562</v>
      </c>
      <c r="J8" s="23">
        <f>G8-(SUMIFS(fpna_monthly_combined[direct_opex_eur],fpna_monthly_combined[technology],$A8,fpna_monthly_combined[Scenario],"Budget")*(1+D8))-SUMIFS(fpna_monthly_combined[allocated_overhead_eur],fpna_monthly_combined[technology],$A8,fpna_monthly_combined[Scenario],"Budget")</f>
        <v>10975038.810000001</v>
      </c>
      <c r="K8" s="23">
        <f t="shared" ref="K8:K10" si="2">J8-I8</f>
        <v>-575523.18999999948</v>
      </c>
      <c r="M8" t="s">
        <v>165</v>
      </c>
      <c r="N8" s="22">
        <f>G12</f>
        <v>147263264.14400002</v>
      </c>
      <c r="O8" s="22">
        <f>J12</f>
        <v>78009663.184000015</v>
      </c>
    </row>
    <row r="9" spans="1:15" x14ac:dyDescent="0.35">
      <c r="A9" t="s">
        <v>22</v>
      </c>
      <c r="B9" s="19" cm="1">
        <f t="array" ref="B9">_xlfn.XLOOKUP($B$3&amp;A9,assumptions[scenario]&amp;assumptions[technology],assumptions[price_index])</f>
        <v>1.1200000000000001</v>
      </c>
      <c r="C9" s="19" cm="1">
        <f t="array" ref="C9">_xlfn.XLOOKUP($B$3&amp;A9,assumptions[scenario]&amp;assumptions[technology],assumptions[volume_factor])</f>
        <v>1.06</v>
      </c>
      <c r="D9" s="18" cm="1">
        <f t="array" ref="D9">_xlfn.XLOOKUP($B$3&amp;A9,assumptions[scenario]&amp;assumptions[technology],assumptions[opex_inflation])</f>
        <v>5.2999999999999999E-2</v>
      </c>
      <c r="E9" s="19" cm="1">
        <f t="array" ref="E9">_xlfn.XLOOKUP($B$3&amp;A9,assumptions[scenario]&amp;assumptions[technology],assumptions[downtime_factor])</f>
        <v>1.05</v>
      </c>
      <c r="F9" s="23">
        <f>SUMIFS(fpna_monthly_combined[revenue_eur],fpna_monthly_combined[technology],$A9,fpna_monthly_combined[Scenario],"Budget")</f>
        <v>16239100</v>
      </c>
      <c r="G9" s="23">
        <f t="shared" si="0"/>
        <v>19279059.52</v>
      </c>
      <c r="H9" s="23">
        <f t="shared" si="1"/>
        <v>3039959.5199999996</v>
      </c>
      <c r="I9" s="23">
        <f>SUMIFS(fpna_monthly_combined[ebitda_eur],fpna_monthly_combined[technology],$A9,fpna_monthly_combined[Scenario],"Budget")</f>
        <v>7531260</v>
      </c>
      <c r="J9" s="23">
        <f>G9-(SUMIFS(fpna_monthly_combined[direct_opex_eur],fpna_monthly_combined[technology],$A9,fpna_monthly_combined[Scenario],"Budget")*(1+D9))-SUMIFS(fpna_monthly_combined[allocated_overhead_eur],fpna_monthly_combined[technology],$A9,fpna_monthly_combined[Scenario],"Budget")</f>
        <v>10192384</v>
      </c>
      <c r="K9" s="23">
        <f t="shared" si="2"/>
        <v>2661124</v>
      </c>
    </row>
    <row r="10" spans="1:15" x14ac:dyDescent="0.35">
      <c r="A10" t="s">
        <v>27</v>
      </c>
      <c r="B10" s="19" cm="1">
        <f t="array" ref="B10">_xlfn.XLOOKUP($B$3&amp;A10,assumptions[scenario]&amp;assumptions[technology],assumptions[price_index])</f>
        <v>1</v>
      </c>
      <c r="C10" s="19" cm="1">
        <f t="array" ref="C10">_xlfn.XLOOKUP($B$3&amp;A10,assumptions[scenario]&amp;assumptions[technology],assumptions[volume_factor])</f>
        <v>0.82</v>
      </c>
      <c r="D10" s="18" cm="1">
        <f t="array" ref="D10">_xlfn.XLOOKUP($B$3&amp;A10,assumptions[scenario]&amp;assumptions[technology],assumptions[opex_inflation])</f>
        <v>0.06</v>
      </c>
      <c r="E10" s="19" cm="1">
        <f t="array" ref="E10">_xlfn.XLOOKUP($B$3&amp;A10,assumptions[scenario]&amp;assumptions[technology],assumptions[downtime_factor])</f>
        <v>1.3</v>
      </c>
      <c r="F10" s="23">
        <f>SUMIFS(fpna_monthly_combined[revenue_eur],fpna_monthly_combined[technology],$A10,fpna_monthly_combined[Scenario],"Budget")</f>
        <v>14973349</v>
      </c>
      <c r="G10" s="23">
        <f t="shared" si="0"/>
        <v>12278146.18</v>
      </c>
      <c r="H10" s="23">
        <f t="shared" si="1"/>
        <v>-2695202.8200000003</v>
      </c>
      <c r="I10" s="23">
        <f>SUMIFS(fpna_monthly_combined[ebitda_eur],fpna_monthly_combined[technology],$A10,fpna_monthly_combined[Scenario],"Budget")</f>
        <v>-6522932</v>
      </c>
      <c r="J10" s="23">
        <f>G10-(SUMIFS(fpna_monthly_combined[direct_opex_eur],fpna_monthly_combined[technology],$A10,fpna_monthly_combined[Scenario],"Budget")*(1+D10))-SUMIFS(fpna_monthly_combined[allocated_overhead_eur],fpna_monthly_combined[technology],$A10,fpna_monthly_combined[Scenario],"Budget")</f>
        <v>-10371112.740000002</v>
      </c>
      <c r="K10" s="23">
        <f t="shared" si="2"/>
        <v>-3848180.7400000021</v>
      </c>
    </row>
    <row r="12" spans="1:15" x14ac:dyDescent="0.35">
      <c r="A12" t="s">
        <v>156</v>
      </c>
      <c r="F12" s="22">
        <f t="shared" ref="F12:K12" si="3">SUM(F7:F10)</f>
        <v>147328639</v>
      </c>
      <c r="G12" s="22">
        <f t="shared" si="3"/>
        <v>147263264.14400002</v>
      </c>
      <c r="H12" s="22">
        <f t="shared" si="3"/>
        <v>-65374.855999998748</v>
      </c>
      <c r="I12" s="22">
        <f t="shared" si="3"/>
        <v>81241865</v>
      </c>
      <c r="J12" s="22">
        <f t="shared" si="3"/>
        <v>78009663.184000015</v>
      </c>
      <c r="K12" s="22">
        <f t="shared" si="3"/>
        <v>-3232201.8159999941</v>
      </c>
    </row>
    <row r="15" spans="1:15" x14ac:dyDescent="0.35">
      <c r="A15" t="s">
        <v>157</v>
      </c>
      <c r="B15" t="s">
        <v>158</v>
      </c>
    </row>
    <row r="16" spans="1:15" x14ac:dyDescent="0.35">
      <c r="A16" t="s">
        <v>155</v>
      </c>
      <c r="B16" s="22" t="str">
        <f>B3</f>
        <v>Base</v>
      </c>
    </row>
    <row r="17" spans="1:2" x14ac:dyDescent="0.35">
      <c r="A17" t="s">
        <v>159</v>
      </c>
      <c r="B17" s="23">
        <f>F12</f>
        <v>147328639</v>
      </c>
    </row>
    <row r="18" spans="1:2" x14ac:dyDescent="0.35">
      <c r="A18" t="s">
        <v>160</v>
      </c>
      <c r="B18" s="23">
        <f>G12</f>
        <v>147263264.14400002</v>
      </c>
    </row>
    <row r="19" spans="1:2" x14ac:dyDescent="0.35">
      <c r="A19" t="s">
        <v>161</v>
      </c>
      <c r="B19" s="23">
        <f>I12</f>
        <v>81241865</v>
      </c>
    </row>
    <row r="20" spans="1:2" x14ac:dyDescent="0.35">
      <c r="A20" t="s">
        <v>162</v>
      </c>
      <c r="B20" s="23">
        <f>J12</f>
        <v>78009663.184000015</v>
      </c>
    </row>
  </sheetData>
  <conditionalFormatting sqref="H7:K10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dataValidations count="1">
    <dataValidation type="list" allowBlank="1" showInputMessage="1" showErrorMessage="1" sqref="B3" xr:uid="{7830BF7D-A4EC-418E-8DF4-ADBC41CEF52A}">
      <formula1>"Downside,Base,Upside"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C8D44-E1F4-4D63-9034-5560B3AD52A4}">
  <sheetPr codeName="Sheet10"/>
  <dimension ref="A1:L65"/>
  <sheetViews>
    <sheetView showGridLines="0" tabSelected="1" topLeftCell="A40" zoomScale="70" zoomScaleNormal="70" workbookViewId="0">
      <selection activeCell="P17" sqref="P17"/>
    </sheetView>
  </sheetViews>
  <sheetFormatPr defaultRowHeight="14.5" x14ac:dyDescent="0.35"/>
  <cols>
    <col min="1" max="2" width="13.453125" customWidth="1"/>
    <col min="3" max="3" width="3.453125" customWidth="1"/>
    <col min="4" max="5" width="13.453125" customWidth="1"/>
    <col min="6" max="6" width="3.453125" customWidth="1"/>
    <col min="7" max="8" width="13.453125" customWidth="1"/>
    <col min="9" max="9" width="3.453125" customWidth="1"/>
    <col min="10" max="11" width="13.453125" customWidth="1"/>
  </cols>
  <sheetData>
    <row r="1" spans="1:11" ht="26" x14ac:dyDescent="0.6">
      <c r="A1" s="85" t="s">
        <v>166</v>
      </c>
      <c r="B1" s="85"/>
      <c r="C1" s="85"/>
      <c r="D1" s="85"/>
      <c r="E1" s="85"/>
      <c r="F1" s="85"/>
      <c r="G1" s="85"/>
      <c r="H1" s="85"/>
      <c r="I1" s="85"/>
      <c r="J1" s="85"/>
      <c r="K1" s="85"/>
    </row>
    <row r="2" spans="1:11" ht="18.5" x14ac:dyDescent="0.45">
      <c r="A2" s="86" t="s">
        <v>167</v>
      </c>
      <c r="B2" s="86"/>
      <c r="C2" s="86"/>
      <c r="D2" s="86"/>
      <c r="E2" s="86"/>
      <c r="F2" s="86"/>
      <c r="G2" s="86"/>
      <c r="H2" s="86"/>
      <c r="I2" s="86"/>
      <c r="J2" s="86"/>
      <c r="K2" s="86"/>
    </row>
    <row r="4" spans="1:11" ht="21" x14ac:dyDescent="0.5">
      <c r="A4" s="89" t="s">
        <v>121</v>
      </c>
      <c r="B4" s="91"/>
      <c r="D4" s="117" t="s">
        <v>124</v>
      </c>
      <c r="E4" s="117"/>
      <c r="G4" s="89" t="s">
        <v>168</v>
      </c>
      <c r="H4" s="89"/>
      <c r="J4" s="89" t="s">
        <v>169</v>
      </c>
      <c r="K4" s="89"/>
    </row>
    <row r="5" spans="1:11" ht="23.5" x14ac:dyDescent="0.55000000000000004">
      <c r="A5" s="92">
        <f>'06_Calculations'!B4</f>
        <v>136797930</v>
      </c>
      <c r="B5" s="92"/>
      <c r="D5" s="92">
        <f>'06_Calculations'!B7</f>
        <v>62995562</v>
      </c>
      <c r="E5" s="92"/>
      <c r="G5" s="92">
        <f>'06_Calculations'!E7</f>
        <v>-18246303</v>
      </c>
      <c r="H5" s="92"/>
      <c r="J5" s="90">
        <f>'06_Calculations'!E10</f>
        <v>947</v>
      </c>
      <c r="K5" s="90"/>
    </row>
    <row r="6" spans="1:11" x14ac:dyDescent="0.35">
      <c r="B6" s="22"/>
      <c r="D6" s="23"/>
    </row>
    <row r="7" spans="1:11" x14ac:dyDescent="0.35">
      <c r="B7" s="22"/>
      <c r="D7" s="22"/>
    </row>
    <row r="8" spans="1:11" x14ac:dyDescent="0.35">
      <c r="B8" s="22"/>
      <c r="D8" s="22"/>
    </row>
    <row r="9" spans="1:11" x14ac:dyDescent="0.35">
      <c r="B9" s="22"/>
      <c r="D9" s="22"/>
    </row>
    <row r="58" spans="1:12" x14ac:dyDescent="0.35">
      <c r="A58" s="87" t="s">
        <v>174</v>
      </c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</row>
    <row r="59" spans="1:12" ht="14.5" customHeight="1" x14ac:dyDescent="0.35">
      <c r="A59" s="88" t="s">
        <v>175</v>
      </c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</row>
    <row r="60" spans="1:12" x14ac:dyDescent="0.35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</row>
    <row r="61" spans="1:12" x14ac:dyDescent="0.35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</row>
    <row r="62" spans="1:12" x14ac:dyDescent="0.35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</row>
    <row r="63" spans="1:12" x14ac:dyDescent="0.35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</row>
    <row r="64" spans="1:12" x14ac:dyDescent="0.35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</row>
    <row r="65" spans="1:12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</sheetData>
  <mergeCells count="12">
    <mergeCell ref="A1:K1"/>
    <mergeCell ref="A2:K2"/>
    <mergeCell ref="A58:L58"/>
    <mergeCell ref="A59:L64"/>
    <mergeCell ref="J4:K4"/>
    <mergeCell ref="J5:K5"/>
    <mergeCell ref="A4:B4"/>
    <mergeCell ref="A5:B5"/>
    <mergeCell ref="D4:E4"/>
    <mergeCell ref="D5:E5"/>
    <mergeCell ref="G4:H4"/>
    <mergeCell ref="G5:H5"/>
  </mergeCells>
  <conditionalFormatting sqref="A5:B5 D5:E5 G5:H5">
    <cfRule type="colorScale" priority="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J5:K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0F944-6C40-4E87-A01C-5D0DEFC7AEE0}">
  <sheetPr codeName="Sheet11"/>
  <dimension ref="A1:S25"/>
  <sheetViews>
    <sheetView showGridLines="0" zoomScale="70" zoomScaleNormal="70" workbookViewId="0">
      <selection activeCell="V11" sqref="V11"/>
    </sheetView>
  </sheetViews>
  <sheetFormatPr defaultRowHeight="14.5" x14ac:dyDescent="0.35"/>
  <sheetData>
    <row r="1" spans="1:19" ht="18.5" customHeight="1" x14ac:dyDescent="0.35">
      <c r="A1" s="103" t="s">
        <v>176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5"/>
    </row>
    <row r="2" spans="1:19" x14ac:dyDescent="0.35">
      <c r="A2" s="106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8"/>
    </row>
    <row r="3" spans="1:19" ht="14.5" customHeight="1" x14ac:dyDescent="0.35">
      <c r="A3" s="100" t="s">
        <v>177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2"/>
    </row>
    <row r="4" spans="1:19" ht="14.5" customHeight="1" x14ac:dyDescent="0.35">
      <c r="A4" s="96" t="s">
        <v>181</v>
      </c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99"/>
    </row>
    <row r="5" spans="1:19" ht="14.5" customHeight="1" x14ac:dyDescent="0.35">
      <c r="A5" s="96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99"/>
    </row>
    <row r="6" spans="1:19" x14ac:dyDescent="0.35">
      <c r="A6" s="113"/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4"/>
    </row>
    <row r="7" spans="1:19" x14ac:dyDescent="0.35">
      <c r="A7" s="100" t="s">
        <v>249</v>
      </c>
      <c r="B7" s="109"/>
      <c r="C7" s="101"/>
      <c r="D7" s="109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2"/>
    </row>
    <row r="8" spans="1:19" ht="14.5" customHeight="1" x14ac:dyDescent="0.35">
      <c r="A8" s="96" t="s">
        <v>182</v>
      </c>
      <c r="B8" s="97"/>
      <c r="C8" s="98"/>
      <c r="D8" s="97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9"/>
    </row>
    <row r="9" spans="1:19" ht="14.5" customHeight="1" x14ac:dyDescent="0.35">
      <c r="A9" s="96" t="s">
        <v>183</v>
      </c>
      <c r="B9" s="97"/>
      <c r="C9" s="98"/>
      <c r="D9" s="97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9"/>
    </row>
    <row r="10" spans="1:19" ht="14.5" customHeight="1" x14ac:dyDescent="0.35">
      <c r="A10" s="96" t="s">
        <v>184</v>
      </c>
      <c r="B10" s="97"/>
      <c r="C10" s="98"/>
      <c r="D10" s="97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9"/>
    </row>
    <row r="11" spans="1:19" x14ac:dyDescent="0.3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7"/>
    </row>
    <row r="12" spans="1:19" ht="14.5" customHeight="1" x14ac:dyDescent="0.35">
      <c r="A12" s="110" t="s">
        <v>178</v>
      </c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2"/>
      <c r="S12" s="2"/>
    </row>
    <row r="13" spans="1:19" ht="14.5" customHeight="1" x14ac:dyDescent="0.35">
      <c r="A13" s="96" t="s">
        <v>185</v>
      </c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9"/>
    </row>
    <row r="14" spans="1:19" ht="14.5" customHeight="1" x14ac:dyDescent="0.35">
      <c r="A14" s="96" t="s">
        <v>186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9"/>
    </row>
    <row r="15" spans="1:19" ht="14.5" customHeight="1" x14ac:dyDescent="0.35">
      <c r="A15" s="96" t="s">
        <v>187</v>
      </c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9"/>
    </row>
    <row r="16" spans="1:19" ht="14.5" customHeight="1" x14ac:dyDescent="0.35">
      <c r="A16" s="96" t="s">
        <v>188</v>
      </c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9"/>
    </row>
    <row r="17" spans="1:18" x14ac:dyDescent="0.35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7"/>
    </row>
    <row r="18" spans="1:18" ht="14.5" customHeight="1" x14ac:dyDescent="0.35">
      <c r="A18" s="100" t="s">
        <v>179</v>
      </c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2"/>
    </row>
    <row r="19" spans="1:18" ht="14.5" customHeight="1" x14ac:dyDescent="0.35">
      <c r="A19" s="96" t="s">
        <v>189</v>
      </c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9"/>
    </row>
    <row r="20" spans="1:18" ht="14.5" customHeight="1" x14ac:dyDescent="0.35">
      <c r="A20" s="96" t="s">
        <v>190</v>
      </c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9"/>
    </row>
    <row r="21" spans="1:18" ht="14.5" customHeight="1" x14ac:dyDescent="0.35">
      <c r="A21" s="96" t="s">
        <v>191</v>
      </c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9"/>
    </row>
    <row r="22" spans="1:18" ht="14.5" customHeight="1" x14ac:dyDescent="0.35">
      <c r="A22" s="96" t="s">
        <v>192</v>
      </c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9"/>
    </row>
    <row r="23" spans="1:18" x14ac:dyDescent="0.35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3"/>
      <c r="R23" s="64"/>
    </row>
    <row r="24" spans="1:18" ht="14.5" customHeight="1" x14ac:dyDescent="0.35">
      <c r="A24" s="93" t="s">
        <v>180</v>
      </c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5"/>
    </row>
    <row r="25" spans="1:18" ht="14.5" customHeight="1" x14ac:dyDescent="0.35">
      <c r="A25" s="98" t="s">
        <v>193</v>
      </c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</row>
  </sheetData>
  <mergeCells count="20">
    <mergeCell ref="A1:R2"/>
    <mergeCell ref="A16:R16"/>
    <mergeCell ref="A15:R15"/>
    <mergeCell ref="A14:R14"/>
    <mergeCell ref="A13:R13"/>
    <mergeCell ref="A3:R3"/>
    <mergeCell ref="A7:R7"/>
    <mergeCell ref="A12:R12"/>
    <mergeCell ref="A4:R5"/>
    <mergeCell ref="A24:R24"/>
    <mergeCell ref="A8:R8"/>
    <mergeCell ref="A9:R9"/>
    <mergeCell ref="A10:R10"/>
    <mergeCell ref="A25:R25"/>
    <mergeCell ref="Q23:R23"/>
    <mergeCell ref="A22:R22"/>
    <mergeCell ref="A21:R21"/>
    <mergeCell ref="A20:R20"/>
    <mergeCell ref="A19:R19"/>
    <mergeCell ref="A18:R1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9AE6F-2E3D-4B0D-9B1D-EC7B31FA7457}">
  <sheetPr codeName="Sheet12"/>
  <dimension ref="A1:R361"/>
  <sheetViews>
    <sheetView showGridLines="0" topLeftCell="A11" zoomScale="55" zoomScaleNormal="55" workbookViewId="0">
      <pane xSplit="2" ySplit="1" topLeftCell="C2" activePane="bottomRight" state="frozen"/>
      <selection activeCell="P44" sqref="P44"/>
      <selection pane="topRight" activeCell="A11" sqref="A11"/>
      <selection pane="bottomLeft" activeCell="A11" sqref="A11"/>
      <selection pane="bottomRight" activeCell="C2" sqref="C2"/>
    </sheetView>
  </sheetViews>
  <sheetFormatPr defaultRowHeight="14.5" x14ac:dyDescent="0.35"/>
  <cols>
    <col min="1" max="1" width="12.6328125" bestFit="1" customWidth="1"/>
    <col min="2" max="2" width="10" bestFit="1" customWidth="1"/>
    <col min="3" max="3" width="17.90625" bestFit="1" customWidth="1"/>
    <col min="4" max="4" width="24.08984375" bestFit="1" customWidth="1"/>
    <col min="5" max="5" width="13.90625" bestFit="1" customWidth="1"/>
    <col min="6" max="6" width="17" bestFit="1" customWidth="1"/>
    <col min="7" max="7" width="24" bestFit="1" customWidth="1"/>
    <col min="8" max="8" width="12.36328125" bestFit="1" customWidth="1"/>
    <col min="9" max="9" width="11.90625" bestFit="1" customWidth="1"/>
    <col min="10" max="10" width="15.08984375" bestFit="1" customWidth="1"/>
    <col min="11" max="11" width="17.6328125" bestFit="1" customWidth="1"/>
    <col min="12" max="12" width="16" bestFit="1" customWidth="1"/>
    <col min="13" max="13" width="10.453125" bestFit="1" customWidth="1"/>
    <col min="14" max="14" width="23.453125" bestFit="1" customWidth="1"/>
    <col min="15" max="15" width="13.6328125" bestFit="1" customWidth="1"/>
    <col min="16" max="16" width="25.08984375" bestFit="1" customWidth="1"/>
    <col min="17" max="17" width="14.36328125" bestFit="1" customWidth="1"/>
    <col min="18" max="18" width="13.453125" bestFit="1" customWidth="1"/>
  </cols>
  <sheetData>
    <row r="1" spans="1:18" x14ac:dyDescent="0.35">
      <c r="A1" t="s">
        <v>30</v>
      </c>
      <c r="B1" t="s">
        <v>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111</v>
      </c>
      <c r="N1" t="s">
        <v>1</v>
      </c>
      <c r="O1" t="s">
        <v>2</v>
      </c>
      <c r="P1" t="s">
        <v>3</v>
      </c>
      <c r="Q1" t="s">
        <v>4</v>
      </c>
      <c r="R1" t="s">
        <v>7</v>
      </c>
    </row>
    <row r="2" spans="1:18" x14ac:dyDescent="0.35">
      <c r="A2" s="1">
        <v>45658</v>
      </c>
      <c r="B2" t="s">
        <v>8</v>
      </c>
      <c r="C2">
        <v>62933</v>
      </c>
      <c r="D2">
        <v>82.4</v>
      </c>
      <c r="E2">
        <v>5185781</v>
      </c>
      <c r="F2">
        <v>1247706</v>
      </c>
      <c r="G2">
        <v>156000</v>
      </c>
      <c r="H2">
        <v>3782075</v>
      </c>
      <c r="I2">
        <v>61200</v>
      </c>
      <c r="J2">
        <v>0.46989999999999998</v>
      </c>
      <c r="K2">
        <v>6</v>
      </c>
      <c r="L2">
        <v>0.9919</v>
      </c>
      <c r="M2" t="s">
        <v>113</v>
      </c>
      <c r="N2" t="s">
        <v>9</v>
      </c>
      <c r="O2" t="s">
        <v>10</v>
      </c>
      <c r="P2" t="s">
        <v>11</v>
      </c>
      <c r="Q2">
        <v>180</v>
      </c>
      <c r="R2" t="s">
        <v>12</v>
      </c>
    </row>
    <row r="3" spans="1:18" x14ac:dyDescent="0.35">
      <c r="A3" s="1">
        <v>45689</v>
      </c>
      <c r="B3" t="s">
        <v>8</v>
      </c>
      <c r="C3">
        <v>57178.3</v>
      </c>
      <c r="D3">
        <v>79.180000000000007</v>
      </c>
      <c r="E3">
        <v>4527633</v>
      </c>
      <c r="F3">
        <v>1158840</v>
      </c>
      <c r="G3">
        <v>156000</v>
      </c>
      <c r="H3">
        <v>3212794</v>
      </c>
      <c r="I3">
        <v>61200</v>
      </c>
      <c r="J3">
        <v>0.47270000000000001</v>
      </c>
      <c r="K3">
        <v>6</v>
      </c>
      <c r="L3">
        <v>0.99109999999999998</v>
      </c>
      <c r="M3" t="s">
        <v>113</v>
      </c>
      <c r="N3" t="s">
        <v>9</v>
      </c>
      <c r="O3" t="s">
        <v>10</v>
      </c>
      <c r="P3" t="s">
        <v>11</v>
      </c>
      <c r="Q3">
        <v>180</v>
      </c>
      <c r="R3" t="s">
        <v>12</v>
      </c>
    </row>
    <row r="4" spans="1:18" x14ac:dyDescent="0.35">
      <c r="A4" s="1">
        <v>45658</v>
      </c>
      <c r="B4" s="22" t="s">
        <v>13</v>
      </c>
      <c r="C4">
        <v>3160.7</v>
      </c>
      <c r="D4" s="22">
        <v>86.15</v>
      </c>
      <c r="E4">
        <v>272299</v>
      </c>
      <c r="F4">
        <v>106430</v>
      </c>
      <c r="G4">
        <v>43050</v>
      </c>
      <c r="H4">
        <v>122818</v>
      </c>
      <c r="I4">
        <v>8035</v>
      </c>
      <c r="J4">
        <v>5.6599999999999998E-2</v>
      </c>
      <c r="K4">
        <v>2</v>
      </c>
      <c r="L4">
        <v>0.99729999999999996</v>
      </c>
      <c r="M4" t="s">
        <v>113</v>
      </c>
      <c r="N4" t="s">
        <v>14</v>
      </c>
      <c r="O4" t="s">
        <v>15</v>
      </c>
      <c r="P4" t="s">
        <v>16</v>
      </c>
      <c r="Q4">
        <v>75</v>
      </c>
      <c r="R4" t="s">
        <v>12</v>
      </c>
    </row>
    <row r="5" spans="1:18" x14ac:dyDescent="0.35">
      <c r="A5" s="1">
        <v>45658</v>
      </c>
      <c r="B5" s="22" t="s">
        <v>17</v>
      </c>
      <c r="C5">
        <v>1670.1</v>
      </c>
      <c r="D5" s="22">
        <v>82.79</v>
      </c>
      <c r="E5">
        <v>138261</v>
      </c>
      <c r="F5">
        <v>64426</v>
      </c>
      <c r="G5">
        <v>30750</v>
      </c>
      <c r="H5">
        <v>43085</v>
      </c>
      <c r="I5">
        <v>8258</v>
      </c>
      <c r="J5">
        <v>5.3400000000000003E-2</v>
      </c>
      <c r="K5">
        <v>2</v>
      </c>
      <c r="L5">
        <v>0.99729999999999996</v>
      </c>
      <c r="M5" t="s">
        <v>113</v>
      </c>
      <c r="N5" t="s">
        <v>18</v>
      </c>
      <c r="O5" t="s">
        <v>15</v>
      </c>
      <c r="P5" t="s">
        <v>19</v>
      </c>
      <c r="Q5">
        <v>42</v>
      </c>
      <c r="R5" t="s">
        <v>12</v>
      </c>
    </row>
    <row r="6" spans="1:18" x14ac:dyDescent="0.35">
      <c r="A6" s="1">
        <v>45658</v>
      </c>
      <c r="B6" s="22" t="s">
        <v>20</v>
      </c>
      <c r="C6">
        <v>10528.6</v>
      </c>
      <c r="D6" s="22">
        <v>41.77</v>
      </c>
      <c r="E6">
        <v>439751</v>
      </c>
      <c r="F6">
        <v>311898</v>
      </c>
      <c r="G6">
        <v>67600</v>
      </c>
      <c r="H6">
        <v>60252</v>
      </c>
      <c r="I6">
        <v>185500</v>
      </c>
      <c r="J6">
        <v>0.2359</v>
      </c>
      <c r="K6">
        <v>18</v>
      </c>
      <c r="L6">
        <v>0.9758</v>
      </c>
      <c r="M6" t="s">
        <v>113</v>
      </c>
      <c r="N6" t="s">
        <v>21</v>
      </c>
      <c r="O6" t="s">
        <v>22</v>
      </c>
      <c r="P6" t="s">
        <v>23</v>
      </c>
      <c r="Q6">
        <v>60</v>
      </c>
      <c r="R6" t="s">
        <v>24</v>
      </c>
    </row>
    <row r="7" spans="1:18" x14ac:dyDescent="0.35">
      <c r="A7" s="1">
        <v>45658</v>
      </c>
      <c r="B7" s="22" t="s">
        <v>25</v>
      </c>
      <c r="C7">
        <v>1501</v>
      </c>
      <c r="D7" s="22">
        <v>117.48</v>
      </c>
      <c r="E7">
        <v>176343</v>
      </c>
      <c r="F7">
        <v>754744</v>
      </c>
      <c r="G7">
        <v>100700</v>
      </c>
      <c r="H7">
        <v>-679101</v>
      </c>
      <c r="I7">
        <v>676000</v>
      </c>
      <c r="J7">
        <v>0.1009</v>
      </c>
      <c r="K7">
        <v>24</v>
      </c>
      <c r="L7">
        <v>0.9677</v>
      </c>
      <c r="M7" t="s">
        <v>113</v>
      </c>
      <c r="N7" t="s">
        <v>26</v>
      </c>
      <c r="O7" t="s">
        <v>27</v>
      </c>
      <c r="P7" t="s">
        <v>28</v>
      </c>
      <c r="Q7">
        <v>25</v>
      </c>
      <c r="R7" t="s">
        <v>29</v>
      </c>
    </row>
    <row r="8" spans="1:18" x14ac:dyDescent="0.35">
      <c r="A8" s="1">
        <v>45689</v>
      </c>
      <c r="B8" s="22" t="s">
        <v>13</v>
      </c>
      <c r="C8">
        <v>3885.3</v>
      </c>
      <c r="D8" s="22">
        <v>79.61</v>
      </c>
      <c r="E8">
        <v>309293</v>
      </c>
      <c r="F8">
        <v>110349</v>
      </c>
      <c r="G8">
        <v>43050</v>
      </c>
      <c r="H8">
        <v>155894</v>
      </c>
      <c r="I8">
        <v>7910</v>
      </c>
      <c r="J8">
        <v>7.7100000000000002E-2</v>
      </c>
      <c r="K8">
        <v>8</v>
      </c>
      <c r="L8">
        <v>0.98809999999999998</v>
      </c>
      <c r="M8" t="s">
        <v>113</v>
      </c>
      <c r="N8" t="s">
        <v>14</v>
      </c>
      <c r="O8" t="s">
        <v>15</v>
      </c>
      <c r="P8" t="s">
        <v>16</v>
      </c>
      <c r="Q8">
        <v>75</v>
      </c>
      <c r="R8" t="s">
        <v>12</v>
      </c>
    </row>
    <row r="9" spans="1:18" x14ac:dyDescent="0.35">
      <c r="A9" s="1">
        <v>45689</v>
      </c>
      <c r="B9" s="22" t="s">
        <v>17</v>
      </c>
      <c r="C9">
        <v>2333</v>
      </c>
      <c r="D9" s="22">
        <v>81.31</v>
      </c>
      <c r="E9">
        <v>189690</v>
      </c>
      <c r="F9">
        <v>66027</v>
      </c>
      <c r="G9">
        <v>30750</v>
      </c>
      <c r="H9">
        <v>92913</v>
      </c>
      <c r="I9">
        <v>8917</v>
      </c>
      <c r="J9">
        <v>8.2699999999999996E-2</v>
      </c>
      <c r="K9">
        <v>8</v>
      </c>
      <c r="L9">
        <v>0.98809999999999998</v>
      </c>
      <c r="M9" t="s">
        <v>113</v>
      </c>
      <c r="N9" t="s">
        <v>18</v>
      </c>
      <c r="O9" t="s">
        <v>15</v>
      </c>
      <c r="P9" t="s">
        <v>19</v>
      </c>
      <c r="Q9">
        <v>42</v>
      </c>
      <c r="R9" t="s">
        <v>12</v>
      </c>
    </row>
    <row r="10" spans="1:18" x14ac:dyDescent="0.35">
      <c r="A10" s="1">
        <v>45689</v>
      </c>
      <c r="B10" t="s">
        <v>20</v>
      </c>
      <c r="C10">
        <v>10519.2</v>
      </c>
      <c r="D10">
        <v>41.5</v>
      </c>
      <c r="E10">
        <v>436589</v>
      </c>
      <c r="F10">
        <v>358729</v>
      </c>
      <c r="G10">
        <v>67600</v>
      </c>
      <c r="H10">
        <v>10261</v>
      </c>
      <c r="I10">
        <v>185500</v>
      </c>
      <c r="J10">
        <v>0.26090000000000002</v>
      </c>
      <c r="K10">
        <v>14</v>
      </c>
      <c r="L10">
        <v>0.97919999999999996</v>
      </c>
      <c r="M10" t="s">
        <v>113</v>
      </c>
      <c r="N10" t="s">
        <v>21</v>
      </c>
      <c r="O10" t="s">
        <v>22</v>
      </c>
      <c r="P10" t="s">
        <v>23</v>
      </c>
      <c r="Q10">
        <v>60</v>
      </c>
      <c r="R10" t="s">
        <v>24</v>
      </c>
    </row>
    <row r="11" spans="1:18" x14ac:dyDescent="0.35">
      <c r="A11" s="1">
        <v>45689</v>
      </c>
      <c r="B11" t="s">
        <v>25</v>
      </c>
      <c r="C11">
        <v>1553.9</v>
      </c>
      <c r="D11">
        <v>117.96</v>
      </c>
      <c r="E11">
        <v>183303</v>
      </c>
      <c r="F11">
        <v>753742</v>
      </c>
      <c r="G11">
        <v>100700</v>
      </c>
      <c r="H11">
        <v>-671138</v>
      </c>
      <c r="I11">
        <v>676000</v>
      </c>
      <c r="J11">
        <v>0.11559999999999999</v>
      </c>
      <c r="K11">
        <v>24</v>
      </c>
      <c r="L11">
        <v>0.96430000000000005</v>
      </c>
      <c r="M11" t="s">
        <v>113</v>
      </c>
      <c r="N11" t="s">
        <v>26</v>
      </c>
      <c r="O11" t="s">
        <v>27</v>
      </c>
      <c r="P11" t="s">
        <v>28</v>
      </c>
      <c r="Q11">
        <v>25</v>
      </c>
      <c r="R11" t="s">
        <v>29</v>
      </c>
    </row>
    <row r="12" spans="1:18" x14ac:dyDescent="0.35">
      <c r="A12" s="1">
        <v>45717</v>
      </c>
      <c r="B12" t="s">
        <v>8</v>
      </c>
      <c r="C12">
        <v>59753.4</v>
      </c>
      <c r="D12">
        <v>77.150000000000006</v>
      </c>
      <c r="E12">
        <v>4610246</v>
      </c>
      <c r="F12">
        <v>1215684</v>
      </c>
      <c r="G12">
        <v>156000</v>
      </c>
      <c r="H12">
        <v>3238562</v>
      </c>
      <c r="I12">
        <v>61200</v>
      </c>
      <c r="J12">
        <v>0.44619999999999999</v>
      </c>
      <c r="K12">
        <v>6</v>
      </c>
      <c r="L12">
        <v>0.9919</v>
      </c>
      <c r="M12" t="s">
        <v>113</v>
      </c>
      <c r="N12" t="s">
        <v>9</v>
      </c>
      <c r="O12" t="s">
        <v>10</v>
      </c>
      <c r="P12" t="s">
        <v>11</v>
      </c>
      <c r="Q12">
        <v>180</v>
      </c>
      <c r="R12" t="s">
        <v>12</v>
      </c>
    </row>
    <row r="13" spans="1:18" x14ac:dyDescent="0.35">
      <c r="A13" s="1">
        <v>45717</v>
      </c>
      <c r="B13" t="s">
        <v>13</v>
      </c>
      <c r="C13">
        <v>6698.1</v>
      </c>
      <c r="D13">
        <v>74.040000000000006</v>
      </c>
      <c r="E13">
        <v>495931</v>
      </c>
      <c r="F13">
        <v>120794</v>
      </c>
      <c r="G13">
        <v>43050</v>
      </c>
      <c r="H13">
        <v>332087</v>
      </c>
      <c r="I13">
        <v>28576</v>
      </c>
      <c r="J13">
        <v>0.12</v>
      </c>
      <c r="K13">
        <v>2</v>
      </c>
      <c r="L13">
        <v>0.99729999999999996</v>
      </c>
      <c r="M13" t="s">
        <v>113</v>
      </c>
      <c r="N13" t="s">
        <v>14</v>
      </c>
      <c r="O13" t="s">
        <v>15</v>
      </c>
      <c r="P13" t="s">
        <v>16</v>
      </c>
      <c r="Q13">
        <v>75</v>
      </c>
      <c r="R13" t="s">
        <v>12</v>
      </c>
    </row>
    <row r="14" spans="1:18" x14ac:dyDescent="0.35">
      <c r="A14" s="1">
        <v>45717</v>
      </c>
      <c r="B14" t="s">
        <v>17</v>
      </c>
      <c r="C14">
        <v>3677.2</v>
      </c>
      <c r="D14">
        <v>73.2</v>
      </c>
      <c r="E14">
        <v>269176</v>
      </c>
      <c r="F14">
        <v>71801</v>
      </c>
      <c r="G14">
        <v>30750</v>
      </c>
      <c r="H14">
        <v>166625</v>
      </c>
      <c r="I14">
        <v>31488</v>
      </c>
      <c r="J14">
        <v>0.1177</v>
      </c>
      <c r="K14">
        <v>4</v>
      </c>
      <c r="L14">
        <v>0.99460000000000004</v>
      </c>
      <c r="M14" t="s">
        <v>113</v>
      </c>
      <c r="N14" t="s">
        <v>18</v>
      </c>
      <c r="O14" t="s">
        <v>15</v>
      </c>
      <c r="P14" t="s">
        <v>19</v>
      </c>
      <c r="Q14">
        <v>42</v>
      </c>
      <c r="R14" t="s">
        <v>12</v>
      </c>
    </row>
    <row r="15" spans="1:18" x14ac:dyDescent="0.35">
      <c r="A15" s="1">
        <v>45717</v>
      </c>
      <c r="B15" t="s">
        <v>20</v>
      </c>
      <c r="C15">
        <v>10068.1</v>
      </c>
      <c r="D15">
        <v>34.909999999999997</v>
      </c>
      <c r="E15">
        <v>351426</v>
      </c>
      <c r="F15">
        <v>352551</v>
      </c>
      <c r="G15">
        <v>67600</v>
      </c>
      <c r="H15">
        <v>-68725</v>
      </c>
      <c r="I15">
        <v>185500</v>
      </c>
      <c r="J15">
        <v>0.22550000000000001</v>
      </c>
      <c r="K15">
        <v>22</v>
      </c>
      <c r="L15">
        <v>0.97040000000000004</v>
      </c>
      <c r="M15" t="s">
        <v>113</v>
      </c>
      <c r="N15" t="s">
        <v>21</v>
      </c>
      <c r="O15" t="s">
        <v>22</v>
      </c>
      <c r="P15" t="s">
        <v>23</v>
      </c>
      <c r="Q15">
        <v>60</v>
      </c>
      <c r="R15" t="s">
        <v>24</v>
      </c>
    </row>
    <row r="16" spans="1:18" x14ac:dyDescent="0.35">
      <c r="A16" s="1">
        <v>45717</v>
      </c>
      <c r="B16" t="s">
        <v>25</v>
      </c>
      <c r="C16">
        <v>1795</v>
      </c>
      <c r="D16">
        <v>116.62</v>
      </c>
      <c r="E16">
        <v>209323</v>
      </c>
      <c r="F16">
        <v>796998</v>
      </c>
      <c r="G16">
        <v>100700</v>
      </c>
      <c r="H16">
        <v>-688375</v>
      </c>
      <c r="I16">
        <v>850000</v>
      </c>
      <c r="J16">
        <v>0.1206</v>
      </c>
      <c r="K16">
        <v>30</v>
      </c>
      <c r="L16">
        <v>0.9597</v>
      </c>
      <c r="M16" t="s">
        <v>113</v>
      </c>
      <c r="N16" t="s">
        <v>26</v>
      </c>
      <c r="O16" t="s">
        <v>27</v>
      </c>
      <c r="P16" t="s">
        <v>28</v>
      </c>
      <c r="Q16">
        <v>25</v>
      </c>
      <c r="R16" t="s">
        <v>29</v>
      </c>
    </row>
    <row r="17" spans="1:18" x14ac:dyDescent="0.35">
      <c r="A17" s="1">
        <v>45748</v>
      </c>
      <c r="B17" t="s">
        <v>8</v>
      </c>
      <c r="C17">
        <v>45128.4</v>
      </c>
      <c r="D17">
        <v>70.5</v>
      </c>
      <c r="E17">
        <v>3181379</v>
      </c>
      <c r="F17">
        <v>1449132</v>
      </c>
      <c r="G17">
        <v>156000</v>
      </c>
      <c r="H17">
        <v>1576247</v>
      </c>
      <c r="I17">
        <v>287500</v>
      </c>
      <c r="J17">
        <v>0.34820000000000001</v>
      </c>
      <c r="K17">
        <v>79</v>
      </c>
      <c r="L17">
        <v>0.89029999999999998</v>
      </c>
      <c r="M17" t="s">
        <v>113</v>
      </c>
      <c r="N17" t="s">
        <v>9</v>
      </c>
      <c r="O17" t="s">
        <v>10</v>
      </c>
      <c r="P17" t="s">
        <v>11</v>
      </c>
      <c r="Q17">
        <v>180</v>
      </c>
      <c r="R17" t="s">
        <v>12</v>
      </c>
    </row>
    <row r="18" spans="1:18" x14ac:dyDescent="0.35">
      <c r="A18" s="1">
        <v>45748</v>
      </c>
      <c r="B18" t="s">
        <v>13</v>
      </c>
      <c r="C18">
        <v>9008.1</v>
      </c>
      <c r="D18">
        <v>67.900000000000006</v>
      </c>
      <c r="E18">
        <v>611655</v>
      </c>
      <c r="F18">
        <v>124408</v>
      </c>
      <c r="G18">
        <v>43050</v>
      </c>
      <c r="H18">
        <v>444197</v>
      </c>
      <c r="I18">
        <v>8821</v>
      </c>
      <c r="J18">
        <v>0.1668</v>
      </c>
      <c r="K18">
        <v>2</v>
      </c>
      <c r="L18">
        <v>0.99719999999999998</v>
      </c>
      <c r="M18" t="s">
        <v>113</v>
      </c>
      <c r="N18" t="s">
        <v>14</v>
      </c>
      <c r="O18" t="s">
        <v>15</v>
      </c>
      <c r="P18" t="s">
        <v>16</v>
      </c>
      <c r="Q18">
        <v>75</v>
      </c>
      <c r="R18" t="s">
        <v>12</v>
      </c>
    </row>
    <row r="19" spans="1:18" x14ac:dyDescent="0.35">
      <c r="A19" s="1">
        <v>45748</v>
      </c>
      <c r="B19" t="s">
        <v>17</v>
      </c>
      <c r="C19">
        <v>4745.3999999999996</v>
      </c>
      <c r="D19">
        <v>68.31</v>
      </c>
      <c r="E19">
        <v>324145</v>
      </c>
      <c r="F19">
        <v>75304</v>
      </c>
      <c r="G19">
        <v>30750</v>
      </c>
      <c r="H19">
        <v>218091</v>
      </c>
      <c r="I19">
        <v>8389</v>
      </c>
      <c r="J19">
        <v>0.15690000000000001</v>
      </c>
      <c r="K19">
        <v>4</v>
      </c>
      <c r="L19">
        <v>0.99439999999999995</v>
      </c>
      <c r="M19" t="s">
        <v>113</v>
      </c>
      <c r="N19" t="s">
        <v>18</v>
      </c>
      <c r="O19" t="s">
        <v>15</v>
      </c>
      <c r="P19" t="s">
        <v>19</v>
      </c>
      <c r="Q19">
        <v>42</v>
      </c>
      <c r="R19" t="s">
        <v>12</v>
      </c>
    </row>
    <row r="20" spans="1:18" x14ac:dyDescent="0.35">
      <c r="A20" s="1">
        <v>45748</v>
      </c>
      <c r="B20" t="s">
        <v>20</v>
      </c>
      <c r="C20">
        <v>9891.7999999999993</v>
      </c>
      <c r="D20">
        <v>35.44</v>
      </c>
      <c r="E20">
        <v>350561</v>
      </c>
      <c r="F20">
        <v>354382</v>
      </c>
      <c r="G20">
        <v>67600</v>
      </c>
      <c r="H20">
        <v>-71421</v>
      </c>
      <c r="I20">
        <v>185500</v>
      </c>
      <c r="J20">
        <v>0.22900000000000001</v>
      </c>
      <c r="K20">
        <v>14</v>
      </c>
      <c r="L20">
        <v>0.98060000000000003</v>
      </c>
      <c r="M20" t="s">
        <v>113</v>
      </c>
      <c r="N20" t="s">
        <v>21</v>
      </c>
      <c r="O20" t="s">
        <v>22</v>
      </c>
      <c r="P20" t="s">
        <v>23</v>
      </c>
      <c r="Q20">
        <v>60</v>
      </c>
      <c r="R20" t="s">
        <v>24</v>
      </c>
    </row>
    <row r="21" spans="1:18" x14ac:dyDescent="0.35">
      <c r="A21" s="1">
        <v>45748</v>
      </c>
      <c r="B21" t="s">
        <v>25</v>
      </c>
      <c r="C21">
        <v>2008.9</v>
      </c>
      <c r="D21">
        <v>116.82</v>
      </c>
      <c r="E21">
        <v>234681</v>
      </c>
      <c r="F21">
        <v>809386</v>
      </c>
      <c r="G21">
        <v>100700</v>
      </c>
      <c r="H21">
        <v>-675405</v>
      </c>
      <c r="I21">
        <v>850000</v>
      </c>
      <c r="J21">
        <v>0.13950000000000001</v>
      </c>
      <c r="K21">
        <v>42</v>
      </c>
      <c r="L21">
        <v>0.94169999999999998</v>
      </c>
      <c r="M21" t="s">
        <v>113</v>
      </c>
      <c r="N21" t="s">
        <v>26</v>
      </c>
      <c r="O21" t="s">
        <v>27</v>
      </c>
      <c r="P21" t="s">
        <v>28</v>
      </c>
      <c r="Q21">
        <v>25</v>
      </c>
      <c r="R21" t="s">
        <v>29</v>
      </c>
    </row>
    <row r="22" spans="1:18" x14ac:dyDescent="0.35">
      <c r="A22" s="1">
        <v>45778</v>
      </c>
      <c r="B22" t="s">
        <v>8</v>
      </c>
      <c r="C22">
        <v>39745.5</v>
      </c>
      <c r="D22">
        <v>64.66</v>
      </c>
      <c r="E22">
        <v>2569789</v>
      </c>
      <c r="F22">
        <v>1247623</v>
      </c>
      <c r="G22">
        <v>156000</v>
      </c>
      <c r="H22">
        <v>1166166</v>
      </c>
      <c r="I22">
        <v>69000</v>
      </c>
      <c r="J22">
        <v>0.29680000000000001</v>
      </c>
      <c r="K22">
        <v>52</v>
      </c>
      <c r="L22">
        <v>0.93010000000000004</v>
      </c>
      <c r="M22" t="s">
        <v>113</v>
      </c>
      <c r="N22" t="s">
        <v>9</v>
      </c>
      <c r="O22" t="s">
        <v>10</v>
      </c>
      <c r="P22" t="s">
        <v>11</v>
      </c>
      <c r="Q22">
        <v>180</v>
      </c>
      <c r="R22" t="s">
        <v>12</v>
      </c>
    </row>
    <row r="23" spans="1:18" x14ac:dyDescent="0.35">
      <c r="A23" s="1">
        <v>45778</v>
      </c>
      <c r="B23" t="s">
        <v>13</v>
      </c>
      <c r="C23">
        <v>11581.6</v>
      </c>
      <c r="D23">
        <v>59.69</v>
      </c>
      <c r="E23">
        <v>691288</v>
      </c>
      <c r="F23">
        <v>132913</v>
      </c>
      <c r="G23">
        <v>43050</v>
      </c>
      <c r="H23">
        <v>515325</v>
      </c>
      <c r="I23">
        <v>7616</v>
      </c>
      <c r="J23">
        <v>0.20760000000000001</v>
      </c>
      <c r="K23">
        <v>2</v>
      </c>
      <c r="L23">
        <v>0.99729999999999996</v>
      </c>
      <c r="M23" t="s">
        <v>113</v>
      </c>
      <c r="N23" t="s">
        <v>14</v>
      </c>
      <c r="O23" t="s">
        <v>15</v>
      </c>
      <c r="P23" t="s">
        <v>16</v>
      </c>
      <c r="Q23">
        <v>75</v>
      </c>
      <c r="R23" t="s">
        <v>12</v>
      </c>
    </row>
    <row r="24" spans="1:18" x14ac:dyDescent="0.35">
      <c r="A24" s="1">
        <v>45778</v>
      </c>
      <c r="B24" t="s">
        <v>17</v>
      </c>
      <c r="C24">
        <v>6352</v>
      </c>
      <c r="D24">
        <v>58</v>
      </c>
      <c r="E24">
        <v>368427</v>
      </c>
      <c r="F24">
        <v>79321</v>
      </c>
      <c r="G24">
        <v>30750</v>
      </c>
      <c r="H24">
        <v>258356</v>
      </c>
      <c r="I24">
        <v>8109</v>
      </c>
      <c r="J24">
        <v>0.20330000000000001</v>
      </c>
      <c r="K24">
        <v>6</v>
      </c>
      <c r="L24">
        <v>0.9919</v>
      </c>
      <c r="M24" t="s">
        <v>113</v>
      </c>
      <c r="N24" t="s">
        <v>18</v>
      </c>
      <c r="O24" t="s">
        <v>15</v>
      </c>
      <c r="P24" t="s">
        <v>19</v>
      </c>
      <c r="Q24">
        <v>42</v>
      </c>
      <c r="R24" t="s">
        <v>12</v>
      </c>
    </row>
    <row r="25" spans="1:18" x14ac:dyDescent="0.35">
      <c r="A25" s="1">
        <v>45778</v>
      </c>
      <c r="B25" t="s">
        <v>20</v>
      </c>
      <c r="C25">
        <v>10474.799999999999</v>
      </c>
      <c r="D25">
        <v>38.909999999999997</v>
      </c>
      <c r="E25">
        <v>407543</v>
      </c>
      <c r="F25">
        <v>311212</v>
      </c>
      <c r="G25">
        <v>67600</v>
      </c>
      <c r="H25">
        <v>28731</v>
      </c>
      <c r="I25">
        <v>185500</v>
      </c>
      <c r="J25">
        <v>0.23469999999999999</v>
      </c>
      <c r="K25">
        <v>6</v>
      </c>
      <c r="L25">
        <v>0.9919</v>
      </c>
      <c r="M25" t="s">
        <v>113</v>
      </c>
      <c r="N25" t="s">
        <v>21</v>
      </c>
      <c r="O25" t="s">
        <v>22</v>
      </c>
      <c r="P25" t="s">
        <v>23</v>
      </c>
      <c r="Q25">
        <v>60</v>
      </c>
      <c r="R25" t="s">
        <v>24</v>
      </c>
    </row>
    <row r="26" spans="1:18" x14ac:dyDescent="0.35">
      <c r="A26" s="1">
        <v>45778</v>
      </c>
      <c r="B26" t="s">
        <v>25</v>
      </c>
      <c r="C26">
        <v>2221.9</v>
      </c>
      <c r="D26">
        <v>115.52</v>
      </c>
      <c r="E26">
        <v>256675</v>
      </c>
      <c r="F26">
        <v>839253</v>
      </c>
      <c r="G26">
        <v>100700</v>
      </c>
      <c r="H26">
        <v>-683278</v>
      </c>
      <c r="I26">
        <v>850000</v>
      </c>
      <c r="J26">
        <v>0.14929999999999999</v>
      </c>
      <c r="K26">
        <v>59</v>
      </c>
      <c r="L26">
        <v>0.92069999999999996</v>
      </c>
      <c r="M26" t="s">
        <v>113</v>
      </c>
      <c r="N26" t="s">
        <v>26</v>
      </c>
      <c r="O26" t="s">
        <v>27</v>
      </c>
      <c r="P26" t="s">
        <v>28</v>
      </c>
      <c r="Q26">
        <v>25</v>
      </c>
      <c r="R26" t="s">
        <v>29</v>
      </c>
    </row>
    <row r="27" spans="1:18" x14ac:dyDescent="0.35">
      <c r="A27" s="1">
        <v>45809</v>
      </c>
      <c r="B27" t="s">
        <v>8</v>
      </c>
      <c r="C27">
        <v>36659</v>
      </c>
      <c r="D27">
        <v>58.69</v>
      </c>
      <c r="E27">
        <v>2151544</v>
      </c>
      <c r="F27">
        <v>1023322</v>
      </c>
      <c r="G27">
        <v>156000</v>
      </c>
      <c r="H27">
        <v>972222</v>
      </c>
      <c r="I27">
        <v>61200</v>
      </c>
      <c r="J27">
        <v>0.28289999999999998</v>
      </c>
      <c r="K27">
        <v>10</v>
      </c>
      <c r="L27">
        <v>0.98609999999999998</v>
      </c>
      <c r="M27" t="s">
        <v>113</v>
      </c>
      <c r="N27" t="s">
        <v>9</v>
      </c>
      <c r="O27" t="s">
        <v>10</v>
      </c>
      <c r="P27" t="s">
        <v>11</v>
      </c>
      <c r="Q27">
        <v>180</v>
      </c>
      <c r="R27" t="s">
        <v>12</v>
      </c>
    </row>
    <row r="28" spans="1:18" x14ac:dyDescent="0.35">
      <c r="A28" s="1">
        <v>45809</v>
      </c>
      <c r="B28" t="s">
        <v>13</v>
      </c>
      <c r="C28">
        <v>12833.9</v>
      </c>
      <c r="D28">
        <v>55.31</v>
      </c>
      <c r="E28">
        <v>709900</v>
      </c>
      <c r="F28">
        <v>137548</v>
      </c>
      <c r="G28">
        <v>43050</v>
      </c>
      <c r="H28">
        <v>529302</v>
      </c>
      <c r="I28">
        <v>7530</v>
      </c>
      <c r="J28">
        <v>0.23769999999999999</v>
      </c>
      <c r="K28">
        <v>4</v>
      </c>
      <c r="L28">
        <v>0.99439999999999995</v>
      </c>
      <c r="M28" t="s">
        <v>113</v>
      </c>
      <c r="N28" t="s">
        <v>14</v>
      </c>
      <c r="O28" t="s">
        <v>15</v>
      </c>
      <c r="P28" t="s">
        <v>16</v>
      </c>
      <c r="Q28">
        <v>75</v>
      </c>
      <c r="R28" t="s">
        <v>12</v>
      </c>
    </row>
    <row r="29" spans="1:18" x14ac:dyDescent="0.35">
      <c r="A29" s="1">
        <v>45809</v>
      </c>
      <c r="B29" t="s">
        <v>17</v>
      </c>
      <c r="C29">
        <v>7098.9</v>
      </c>
      <c r="D29">
        <v>54.48</v>
      </c>
      <c r="E29">
        <v>386713</v>
      </c>
      <c r="F29">
        <v>80205</v>
      </c>
      <c r="G29">
        <v>30750</v>
      </c>
      <c r="H29">
        <v>275758</v>
      </c>
      <c r="I29">
        <v>7958</v>
      </c>
      <c r="J29">
        <v>0.23480000000000001</v>
      </c>
      <c r="K29">
        <v>4</v>
      </c>
      <c r="L29">
        <v>0.99439999999999995</v>
      </c>
      <c r="M29" t="s">
        <v>113</v>
      </c>
      <c r="N29" t="s">
        <v>18</v>
      </c>
      <c r="O29" t="s">
        <v>15</v>
      </c>
      <c r="P29" t="s">
        <v>19</v>
      </c>
      <c r="Q29">
        <v>42</v>
      </c>
      <c r="R29" t="s">
        <v>12</v>
      </c>
    </row>
    <row r="30" spans="1:18" x14ac:dyDescent="0.35">
      <c r="A30" s="1">
        <v>45809</v>
      </c>
      <c r="B30" t="s">
        <v>20</v>
      </c>
      <c r="C30">
        <v>10789.8</v>
      </c>
      <c r="D30">
        <v>42.37</v>
      </c>
      <c r="E30">
        <v>457155</v>
      </c>
      <c r="F30">
        <v>313042</v>
      </c>
      <c r="G30">
        <v>67600</v>
      </c>
      <c r="H30">
        <v>76513</v>
      </c>
      <c r="I30">
        <v>210000</v>
      </c>
      <c r="J30">
        <v>0.24979999999999999</v>
      </c>
      <c r="K30">
        <v>6</v>
      </c>
      <c r="L30">
        <v>0.99170000000000003</v>
      </c>
      <c r="M30" t="s">
        <v>113</v>
      </c>
      <c r="N30" t="s">
        <v>21</v>
      </c>
      <c r="O30" t="s">
        <v>22</v>
      </c>
      <c r="P30" t="s">
        <v>23</v>
      </c>
      <c r="Q30">
        <v>60</v>
      </c>
      <c r="R30" t="s">
        <v>24</v>
      </c>
    </row>
    <row r="31" spans="1:18" x14ac:dyDescent="0.35">
      <c r="A31" s="1">
        <v>45809</v>
      </c>
      <c r="B31" t="s">
        <v>25</v>
      </c>
      <c r="C31">
        <v>2285.6</v>
      </c>
      <c r="D31">
        <v>117.07</v>
      </c>
      <c r="E31">
        <v>267570</v>
      </c>
      <c r="F31">
        <v>850277</v>
      </c>
      <c r="G31">
        <v>100700</v>
      </c>
      <c r="H31">
        <v>-683408</v>
      </c>
      <c r="I31">
        <v>676000</v>
      </c>
      <c r="J31">
        <v>0.15870000000000001</v>
      </c>
      <c r="K31">
        <v>24</v>
      </c>
      <c r="L31">
        <v>0.9667</v>
      </c>
      <c r="M31" t="s">
        <v>113</v>
      </c>
      <c r="N31" t="s">
        <v>26</v>
      </c>
      <c r="O31" t="s">
        <v>27</v>
      </c>
      <c r="P31" t="s">
        <v>28</v>
      </c>
      <c r="Q31">
        <v>25</v>
      </c>
      <c r="R31" t="s">
        <v>29</v>
      </c>
    </row>
    <row r="32" spans="1:18" x14ac:dyDescent="0.35">
      <c r="A32" s="1">
        <v>45839</v>
      </c>
      <c r="B32" t="s">
        <v>8</v>
      </c>
      <c r="C32">
        <v>39574.300000000003</v>
      </c>
      <c r="D32">
        <v>58.53</v>
      </c>
      <c r="E32">
        <v>2316204</v>
      </c>
      <c r="F32">
        <v>1016040</v>
      </c>
      <c r="G32">
        <v>156000</v>
      </c>
      <c r="H32">
        <v>1144164</v>
      </c>
      <c r="I32">
        <v>61200</v>
      </c>
      <c r="J32">
        <v>0.29549999999999998</v>
      </c>
      <c r="K32">
        <v>10</v>
      </c>
      <c r="L32">
        <v>0.98660000000000003</v>
      </c>
      <c r="M32" t="s">
        <v>113</v>
      </c>
      <c r="N32" t="s">
        <v>9</v>
      </c>
      <c r="O32" t="s">
        <v>10</v>
      </c>
      <c r="P32" t="s">
        <v>11</v>
      </c>
      <c r="Q32">
        <v>180</v>
      </c>
      <c r="R32" t="s">
        <v>12</v>
      </c>
    </row>
    <row r="33" spans="1:18" x14ac:dyDescent="0.35">
      <c r="A33" s="1">
        <v>45839</v>
      </c>
      <c r="B33" t="s">
        <v>13</v>
      </c>
      <c r="C33">
        <v>12659.8</v>
      </c>
      <c r="D33">
        <v>52.68</v>
      </c>
      <c r="E33">
        <v>666972</v>
      </c>
      <c r="F33">
        <v>138047</v>
      </c>
      <c r="G33">
        <v>43050</v>
      </c>
      <c r="H33">
        <v>485875</v>
      </c>
      <c r="I33">
        <v>8531</v>
      </c>
      <c r="J33">
        <v>0.22689999999999999</v>
      </c>
      <c r="K33">
        <v>2</v>
      </c>
      <c r="L33">
        <v>0.99729999999999996</v>
      </c>
      <c r="M33" t="s">
        <v>113</v>
      </c>
      <c r="N33" t="s">
        <v>14</v>
      </c>
      <c r="O33" t="s">
        <v>15</v>
      </c>
      <c r="P33" t="s">
        <v>16</v>
      </c>
      <c r="Q33">
        <v>75</v>
      </c>
      <c r="R33" t="s">
        <v>12</v>
      </c>
    </row>
    <row r="34" spans="1:18" x14ac:dyDescent="0.35">
      <c r="A34" s="1">
        <v>45839</v>
      </c>
      <c r="B34" t="s">
        <v>17</v>
      </c>
      <c r="C34">
        <v>7617.8</v>
      </c>
      <c r="D34">
        <v>52.57</v>
      </c>
      <c r="E34">
        <v>400500</v>
      </c>
      <c r="F34">
        <v>81277</v>
      </c>
      <c r="G34">
        <v>30750</v>
      </c>
      <c r="H34">
        <v>288473</v>
      </c>
      <c r="I34">
        <v>8416</v>
      </c>
      <c r="J34">
        <v>0.24379999999999999</v>
      </c>
      <c r="K34">
        <v>2</v>
      </c>
      <c r="L34">
        <v>0.99729999999999996</v>
      </c>
      <c r="M34" t="s">
        <v>113</v>
      </c>
      <c r="N34" t="s">
        <v>18</v>
      </c>
      <c r="O34" t="s">
        <v>15</v>
      </c>
      <c r="P34" t="s">
        <v>19</v>
      </c>
      <c r="Q34">
        <v>42</v>
      </c>
      <c r="R34" t="s">
        <v>12</v>
      </c>
    </row>
    <row r="35" spans="1:18" x14ac:dyDescent="0.35">
      <c r="A35" s="1">
        <v>45839</v>
      </c>
      <c r="B35" t="s">
        <v>20</v>
      </c>
      <c r="C35">
        <v>12433.2</v>
      </c>
      <c r="D35">
        <v>37.86</v>
      </c>
      <c r="E35">
        <v>470725</v>
      </c>
      <c r="F35">
        <v>314873</v>
      </c>
      <c r="G35">
        <v>67600</v>
      </c>
      <c r="H35">
        <v>88252</v>
      </c>
      <c r="I35">
        <v>210000</v>
      </c>
      <c r="J35">
        <v>0.27850000000000003</v>
      </c>
      <c r="K35">
        <v>18</v>
      </c>
      <c r="L35">
        <v>0.9758</v>
      </c>
      <c r="M35" t="s">
        <v>113</v>
      </c>
      <c r="N35" t="s">
        <v>21</v>
      </c>
      <c r="O35" t="s">
        <v>22</v>
      </c>
      <c r="P35" t="s">
        <v>23</v>
      </c>
      <c r="Q35">
        <v>60</v>
      </c>
      <c r="R35" t="s">
        <v>24</v>
      </c>
    </row>
    <row r="36" spans="1:18" x14ac:dyDescent="0.35">
      <c r="A36" s="1">
        <v>45839</v>
      </c>
      <c r="B36" t="s">
        <v>25</v>
      </c>
      <c r="C36">
        <v>2620.9</v>
      </c>
      <c r="D36">
        <v>118.89</v>
      </c>
      <c r="E36">
        <v>311585</v>
      </c>
      <c r="F36">
        <v>881507</v>
      </c>
      <c r="G36">
        <v>100700</v>
      </c>
      <c r="H36">
        <v>-670623</v>
      </c>
      <c r="I36">
        <v>676000</v>
      </c>
      <c r="J36">
        <v>0.17610000000000001</v>
      </c>
      <c r="K36">
        <v>30</v>
      </c>
      <c r="L36">
        <v>0.9597</v>
      </c>
      <c r="M36" t="s">
        <v>113</v>
      </c>
      <c r="N36" t="s">
        <v>26</v>
      </c>
      <c r="O36" t="s">
        <v>27</v>
      </c>
      <c r="P36" t="s">
        <v>28</v>
      </c>
      <c r="Q36">
        <v>25</v>
      </c>
      <c r="R36" t="s">
        <v>29</v>
      </c>
    </row>
    <row r="37" spans="1:18" x14ac:dyDescent="0.35">
      <c r="A37" s="1">
        <v>45870</v>
      </c>
      <c r="B37" t="s">
        <v>8</v>
      </c>
      <c r="C37">
        <v>40338.699999999997</v>
      </c>
      <c r="D37">
        <v>60.56</v>
      </c>
      <c r="E37">
        <v>2442879</v>
      </c>
      <c r="F37">
        <v>1041805</v>
      </c>
      <c r="G37">
        <v>156000</v>
      </c>
      <c r="H37">
        <v>1245073</v>
      </c>
      <c r="I37">
        <v>61200</v>
      </c>
      <c r="J37">
        <v>0.30120000000000002</v>
      </c>
      <c r="K37">
        <v>10</v>
      </c>
      <c r="L37">
        <v>0.98660000000000003</v>
      </c>
      <c r="M37" t="s">
        <v>113</v>
      </c>
      <c r="N37" t="s">
        <v>9</v>
      </c>
      <c r="O37" t="s">
        <v>10</v>
      </c>
      <c r="P37" t="s">
        <v>11</v>
      </c>
      <c r="Q37">
        <v>180</v>
      </c>
      <c r="R37" t="s">
        <v>12</v>
      </c>
    </row>
    <row r="38" spans="1:18" x14ac:dyDescent="0.35">
      <c r="A38" s="1">
        <v>45870</v>
      </c>
      <c r="B38" t="s">
        <v>13</v>
      </c>
      <c r="C38">
        <v>11086.9</v>
      </c>
      <c r="D38">
        <v>54.51</v>
      </c>
      <c r="E38">
        <v>604403</v>
      </c>
      <c r="F38">
        <v>134550</v>
      </c>
      <c r="G38">
        <v>43050</v>
      </c>
      <c r="H38">
        <v>426803</v>
      </c>
      <c r="I38">
        <v>8301</v>
      </c>
      <c r="J38">
        <v>0.19869999999999999</v>
      </c>
      <c r="K38">
        <v>6</v>
      </c>
      <c r="L38">
        <v>0.9919</v>
      </c>
      <c r="M38" t="s">
        <v>113</v>
      </c>
      <c r="N38" t="s">
        <v>14</v>
      </c>
      <c r="O38" t="s">
        <v>15</v>
      </c>
      <c r="P38" t="s">
        <v>16</v>
      </c>
      <c r="Q38">
        <v>75</v>
      </c>
      <c r="R38" t="s">
        <v>12</v>
      </c>
    </row>
    <row r="39" spans="1:18" x14ac:dyDescent="0.35">
      <c r="A39" s="1">
        <v>45870</v>
      </c>
      <c r="B39" t="s">
        <v>17</v>
      </c>
      <c r="C39">
        <v>6541</v>
      </c>
      <c r="D39">
        <v>53.78</v>
      </c>
      <c r="E39">
        <v>351800</v>
      </c>
      <c r="F39">
        <v>80095</v>
      </c>
      <c r="G39">
        <v>30750</v>
      </c>
      <c r="H39">
        <v>240955</v>
      </c>
      <c r="I39">
        <v>7454</v>
      </c>
      <c r="J39">
        <v>0.20930000000000001</v>
      </c>
      <c r="K39">
        <v>2</v>
      </c>
      <c r="L39">
        <v>0.99729999999999996</v>
      </c>
      <c r="M39" t="s">
        <v>113</v>
      </c>
      <c r="N39" t="s">
        <v>18</v>
      </c>
      <c r="O39" t="s">
        <v>15</v>
      </c>
      <c r="P39" t="s">
        <v>19</v>
      </c>
      <c r="Q39">
        <v>42</v>
      </c>
      <c r="R39" t="s">
        <v>12</v>
      </c>
    </row>
    <row r="40" spans="1:18" x14ac:dyDescent="0.35">
      <c r="A40" s="1">
        <v>45870</v>
      </c>
      <c r="B40" t="s">
        <v>20</v>
      </c>
      <c r="C40">
        <v>11548.3</v>
      </c>
      <c r="D40">
        <v>37.71</v>
      </c>
      <c r="E40">
        <v>435449</v>
      </c>
      <c r="F40">
        <v>316703</v>
      </c>
      <c r="G40">
        <v>67600</v>
      </c>
      <c r="H40">
        <v>51146</v>
      </c>
      <c r="I40">
        <v>185500</v>
      </c>
      <c r="J40">
        <v>0.25869999999999999</v>
      </c>
      <c r="K40">
        <v>14</v>
      </c>
      <c r="L40">
        <v>0.98119999999999996</v>
      </c>
      <c r="M40" t="s">
        <v>113</v>
      </c>
      <c r="N40" t="s">
        <v>21</v>
      </c>
      <c r="O40" t="s">
        <v>22</v>
      </c>
      <c r="P40" t="s">
        <v>23</v>
      </c>
      <c r="Q40">
        <v>60</v>
      </c>
      <c r="R40" t="s">
        <v>24</v>
      </c>
    </row>
    <row r="41" spans="1:18" x14ac:dyDescent="0.35">
      <c r="A41" s="1">
        <v>45870</v>
      </c>
      <c r="B41" t="s">
        <v>25</v>
      </c>
      <c r="C41">
        <v>2527.1999999999998</v>
      </c>
      <c r="D41">
        <v>116.03</v>
      </c>
      <c r="E41">
        <v>293234</v>
      </c>
      <c r="F41">
        <v>902634</v>
      </c>
      <c r="G41">
        <v>100700</v>
      </c>
      <c r="H41">
        <v>-710100</v>
      </c>
      <c r="I41">
        <v>676000</v>
      </c>
      <c r="J41">
        <v>0.16980000000000001</v>
      </c>
      <c r="K41">
        <v>42</v>
      </c>
      <c r="L41">
        <v>0.94350000000000001</v>
      </c>
      <c r="M41" t="s">
        <v>113</v>
      </c>
      <c r="N41" t="s">
        <v>26</v>
      </c>
      <c r="O41" t="s">
        <v>27</v>
      </c>
      <c r="P41" t="s">
        <v>28</v>
      </c>
      <c r="Q41">
        <v>25</v>
      </c>
      <c r="R41" t="s">
        <v>29</v>
      </c>
    </row>
    <row r="42" spans="1:18" x14ac:dyDescent="0.35">
      <c r="A42" s="1">
        <v>45901</v>
      </c>
      <c r="B42" t="s">
        <v>8</v>
      </c>
      <c r="C42">
        <v>46217.4</v>
      </c>
      <c r="D42">
        <v>68.39</v>
      </c>
      <c r="E42">
        <v>3160938</v>
      </c>
      <c r="F42">
        <v>1111051</v>
      </c>
      <c r="G42">
        <v>156000</v>
      </c>
      <c r="H42">
        <v>1893887</v>
      </c>
      <c r="I42">
        <v>61200</v>
      </c>
      <c r="J42">
        <v>0.35659999999999997</v>
      </c>
      <c r="K42">
        <v>6</v>
      </c>
      <c r="L42">
        <v>0.99170000000000003</v>
      </c>
      <c r="M42" t="s">
        <v>113</v>
      </c>
      <c r="N42" t="s">
        <v>9</v>
      </c>
      <c r="O42" t="s">
        <v>10</v>
      </c>
      <c r="P42" t="s">
        <v>11</v>
      </c>
      <c r="Q42">
        <v>180</v>
      </c>
      <c r="R42" t="s">
        <v>12</v>
      </c>
    </row>
    <row r="43" spans="1:18" x14ac:dyDescent="0.35">
      <c r="A43" s="1">
        <v>45901</v>
      </c>
      <c r="B43" t="s">
        <v>13</v>
      </c>
      <c r="C43">
        <v>8211.4</v>
      </c>
      <c r="D43">
        <v>66.22</v>
      </c>
      <c r="E43">
        <v>543772</v>
      </c>
      <c r="F43">
        <v>124778</v>
      </c>
      <c r="G43">
        <v>43050</v>
      </c>
      <c r="H43">
        <v>375944</v>
      </c>
      <c r="I43">
        <v>28166</v>
      </c>
      <c r="J43">
        <v>0.15210000000000001</v>
      </c>
      <c r="K43">
        <v>6</v>
      </c>
      <c r="L43">
        <v>0.99170000000000003</v>
      </c>
      <c r="M43" t="s">
        <v>113</v>
      </c>
      <c r="N43" t="s">
        <v>14</v>
      </c>
      <c r="O43" t="s">
        <v>15</v>
      </c>
      <c r="P43" t="s">
        <v>16</v>
      </c>
      <c r="Q43">
        <v>75</v>
      </c>
      <c r="R43" t="s">
        <v>12</v>
      </c>
    </row>
    <row r="44" spans="1:18" x14ac:dyDescent="0.35">
      <c r="A44" s="1">
        <v>45901</v>
      </c>
      <c r="B44" t="s">
        <v>17</v>
      </c>
      <c r="C44">
        <v>4650.1000000000004</v>
      </c>
      <c r="D44">
        <v>65.97</v>
      </c>
      <c r="E44">
        <v>306782</v>
      </c>
      <c r="F44">
        <v>74758</v>
      </c>
      <c r="G44">
        <v>30750</v>
      </c>
      <c r="H44">
        <v>201274</v>
      </c>
      <c r="I44">
        <v>27925</v>
      </c>
      <c r="J44">
        <v>0.15379999999999999</v>
      </c>
      <c r="K44">
        <v>6</v>
      </c>
      <c r="L44">
        <v>0.99170000000000003</v>
      </c>
      <c r="M44" t="s">
        <v>113</v>
      </c>
      <c r="N44" t="s">
        <v>18</v>
      </c>
      <c r="O44" t="s">
        <v>15</v>
      </c>
      <c r="P44" t="s">
        <v>19</v>
      </c>
      <c r="Q44">
        <v>42</v>
      </c>
      <c r="R44" t="s">
        <v>12</v>
      </c>
    </row>
    <row r="45" spans="1:18" x14ac:dyDescent="0.35">
      <c r="A45" s="1">
        <v>45901</v>
      </c>
      <c r="B45" t="s">
        <v>20</v>
      </c>
      <c r="C45">
        <v>12973.3</v>
      </c>
      <c r="D45">
        <v>42.75</v>
      </c>
      <c r="E45">
        <v>554551</v>
      </c>
      <c r="F45">
        <v>318534</v>
      </c>
      <c r="G45">
        <v>67600</v>
      </c>
      <c r="H45">
        <v>168418</v>
      </c>
      <c r="I45">
        <v>74200</v>
      </c>
      <c r="J45">
        <v>0.30030000000000001</v>
      </c>
      <c r="K45">
        <v>18</v>
      </c>
      <c r="L45">
        <v>0.97499999999999998</v>
      </c>
      <c r="M45" t="s">
        <v>113</v>
      </c>
      <c r="N45" t="s">
        <v>21</v>
      </c>
      <c r="O45" t="s">
        <v>22</v>
      </c>
      <c r="P45" t="s">
        <v>23</v>
      </c>
      <c r="Q45">
        <v>60</v>
      </c>
      <c r="R45" t="s">
        <v>24</v>
      </c>
    </row>
    <row r="46" spans="1:18" x14ac:dyDescent="0.35">
      <c r="A46" s="1">
        <v>45901</v>
      </c>
      <c r="B46" t="s">
        <v>25</v>
      </c>
      <c r="C46">
        <v>2689.7</v>
      </c>
      <c r="D46">
        <v>116.45</v>
      </c>
      <c r="E46">
        <v>313223</v>
      </c>
      <c r="F46">
        <v>911614</v>
      </c>
      <c r="G46">
        <v>100700</v>
      </c>
      <c r="H46">
        <v>-699092</v>
      </c>
      <c r="I46">
        <v>676000</v>
      </c>
      <c r="J46">
        <v>0.18679999999999999</v>
      </c>
      <c r="K46">
        <v>24</v>
      </c>
      <c r="L46">
        <v>0.9667</v>
      </c>
      <c r="M46" t="s">
        <v>113</v>
      </c>
      <c r="N46" t="s">
        <v>26</v>
      </c>
      <c r="O46" t="s">
        <v>27</v>
      </c>
      <c r="P46" t="s">
        <v>28</v>
      </c>
      <c r="Q46">
        <v>25</v>
      </c>
      <c r="R46" t="s">
        <v>29</v>
      </c>
    </row>
    <row r="47" spans="1:18" x14ac:dyDescent="0.35">
      <c r="A47" s="1">
        <v>45931</v>
      </c>
      <c r="B47" t="s">
        <v>8</v>
      </c>
      <c r="C47">
        <v>52772.7</v>
      </c>
      <c r="D47">
        <v>74.81</v>
      </c>
      <c r="E47">
        <v>3947899</v>
      </c>
      <c r="F47">
        <v>1270696</v>
      </c>
      <c r="G47">
        <v>156000</v>
      </c>
      <c r="H47">
        <v>2521203</v>
      </c>
      <c r="I47">
        <v>255000</v>
      </c>
      <c r="J47">
        <v>0.39410000000000001</v>
      </c>
      <c r="K47">
        <v>20</v>
      </c>
      <c r="L47">
        <v>0.97309999999999997</v>
      </c>
      <c r="M47" t="s">
        <v>113</v>
      </c>
      <c r="N47" t="s">
        <v>9</v>
      </c>
      <c r="O47" t="s">
        <v>10</v>
      </c>
      <c r="P47" t="s">
        <v>11</v>
      </c>
      <c r="Q47">
        <v>180</v>
      </c>
      <c r="R47" t="s">
        <v>12</v>
      </c>
    </row>
    <row r="48" spans="1:18" x14ac:dyDescent="0.35">
      <c r="A48" s="1">
        <v>45931</v>
      </c>
      <c r="B48" t="s">
        <v>13</v>
      </c>
      <c r="C48">
        <v>5801.5</v>
      </c>
      <c r="D48">
        <v>73.12</v>
      </c>
      <c r="E48">
        <v>424229</v>
      </c>
      <c r="F48">
        <v>118326</v>
      </c>
      <c r="G48">
        <v>43050</v>
      </c>
      <c r="H48">
        <v>262854</v>
      </c>
      <c r="I48">
        <v>8069</v>
      </c>
      <c r="J48">
        <v>0.104</v>
      </c>
      <c r="K48">
        <v>2</v>
      </c>
      <c r="L48">
        <v>0.99729999999999996</v>
      </c>
      <c r="M48" t="s">
        <v>113</v>
      </c>
      <c r="N48" t="s">
        <v>14</v>
      </c>
      <c r="O48" t="s">
        <v>15</v>
      </c>
      <c r="P48" t="s">
        <v>16</v>
      </c>
      <c r="Q48">
        <v>75</v>
      </c>
      <c r="R48" t="s">
        <v>12</v>
      </c>
    </row>
    <row r="49" spans="1:18" x14ac:dyDescent="0.35">
      <c r="A49" s="1">
        <v>45931</v>
      </c>
      <c r="B49" t="s">
        <v>17</v>
      </c>
      <c r="C49">
        <v>3174.2</v>
      </c>
      <c r="D49">
        <v>76.5</v>
      </c>
      <c r="E49">
        <v>242820</v>
      </c>
      <c r="F49">
        <v>70040</v>
      </c>
      <c r="G49">
        <v>30750</v>
      </c>
      <c r="H49">
        <v>142029</v>
      </c>
      <c r="I49">
        <v>8910</v>
      </c>
      <c r="J49">
        <v>0.1016</v>
      </c>
      <c r="K49">
        <v>2</v>
      </c>
      <c r="L49">
        <v>0.99729999999999996</v>
      </c>
      <c r="M49" t="s">
        <v>113</v>
      </c>
      <c r="N49" t="s">
        <v>18</v>
      </c>
      <c r="O49" t="s">
        <v>15</v>
      </c>
      <c r="P49" t="s">
        <v>19</v>
      </c>
      <c r="Q49">
        <v>42</v>
      </c>
      <c r="R49" t="s">
        <v>12</v>
      </c>
    </row>
    <row r="50" spans="1:18" x14ac:dyDescent="0.35">
      <c r="A50" s="1">
        <v>45931</v>
      </c>
      <c r="B50" t="s">
        <v>20</v>
      </c>
      <c r="C50">
        <v>13946.7</v>
      </c>
      <c r="D50">
        <v>45</v>
      </c>
      <c r="E50">
        <v>627569</v>
      </c>
      <c r="F50">
        <v>320364</v>
      </c>
      <c r="G50">
        <v>67600</v>
      </c>
      <c r="H50">
        <v>239605</v>
      </c>
      <c r="I50">
        <v>74200</v>
      </c>
      <c r="J50">
        <v>0.31240000000000001</v>
      </c>
      <c r="K50">
        <v>10</v>
      </c>
      <c r="L50">
        <v>0.98660000000000003</v>
      </c>
      <c r="M50" t="s">
        <v>113</v>
      </c>
      <c r="N50" t="s">
        <v>21</v>
      </c>
      <c r="O50" t="s">
        <v>22</v>
      </c>
      <c r="P50" t="s">
        <v>23</v>
      </c>
      <c r="Q50">
        <v>60</v>
      </c>
      <c r="R50" t="s">
        <v>24</v>
      </c>
    </row>
    <row r="51" spans="1:18" x14ac:dyDescent="0.35">
      <c r="A51" s="1">
        <v>45931</v>
      </c>
      <c r="B51" t="s">
        <v>25</v>
      </c>
      <c r="C51">
        <v>2936.6</v>
      </c>
      <c r="D51">
        <v>117.04</v>
      </c>
      <c r="E51">
        <v>343689</v>
      </c>
      <c r="F51">
        <v>944889</v>
      </c>
      <c r="G51">
        <v>100700</v>
      </c>
      <c r="H51">
        <v>-701899</v>
      </c>
      <c r="I51">
        <v>676000</v>
      </c>
      <c r="J51">
        <v>0.1973</v>
      </c>
      <c r="K51">
        <v>42</v>
      </c>
      <c r="L51">
        <v>0.94350000000000001</v>
      </c>
      <c r="M51" t="s">
        <v>113</v>
      </c>
      <c r="N51" t="s">
        <v>26</v>
      </c>
      <c r="O51" t="s">
        <v>27</v>
      </c>
      <c r="P51" t="s">
        <v>28</v>
      </c>
      <c r="Q51">
        <v>25</v>
      </c>
      <c r="R51" t="s">
        <v>29</v>
      </c>
    </row>
    <row r="52" spans="1:18" x14ac:dyDescent="0.35">
      <c r="A52" s="1">
        <v>45962</v>
      </c>
      <c r="B52" t="s">
        <v>8</v>
      </c>
      <c r="C52">
        <v>55148.4</v>
      </c>
      <c r="D52">
        <v>77.290000000000006</v>
      </c>
      <c r="E52">
        <v>4262381</v>
      </c>
      <c r="F52">
        <v>1357553</v>
      </c>
      <c r="G52">
        <v>156000</v>
      </c>
      <c r="H52">
        <v>2748828</v>
      </c>
      <c r="I52">
        <v>69000</v>
      </c>
      <c r="J52">
        <v>0.42549999999999999</v>
      </c>
      <c r="K52">
        <v>42</v>
      </c>
      <c r="L52">
        <v>0.94169999999999998</v>
      </c>
      <c r="M52" t="s">
        <v>113</v>
      </c>
      <c r="N52" t="s">
        <v>9</v>
      </c>
      <c r="O52" t="s">
        <v>10</v>
      </c>
      <c r="P52" t="s">
        <v>11</v>
      </c>
      <c r="Q52">
        <v>180</v>
      </c>
      <c r="R52" t="s">
        <v>12</v>
      </c>
    </row>
    <row r="53" spans="1:18" x14ac:dyDescent="0.35">
      <c r="A53" s="1">
        <v>45962</v>
      </c>
      <c r="B53" t="s">
        <v>13</v>
      </c>
      <c r="C53">
        <v>3438.8</v>
      </c>
      <c r="D53">
        <v>81.150000000000006</v>
      </c>
      <c r="E53">
        <v>279046</v>
      </c>
      <c r="F53">
        <v>109844</v>
      </c>
      <c r="G53">
        <v>43050</v>
      </c>
      <c r="H53">
        <v>126152</v>
      </c>
      <c r="I53">
        <v>8613</v>
      </c>
      <c r="J53">
        <v>6.3700000000000007E-2</v>
      </c>
      <c r="K53">
        <v>10</v>
      </c>
      <c r="L53">
        <v>0.98609999999999998</v>
      </c>
      <c r="M53" t="s">
        <v>113</v>
      </c>
      <c r="N53" t="s">
        <v>14</v>
      </c>
      <c r="O53" t="s">
        <v>15</v>
      </c>
      <c r="P53" t="s">
        <v>16</v>
      </c>
      <c r="Q53">
        <v>75</v>
      </c>
      <c r="R53" t="s">
        <v>12</v>
      </c>
    </row>
    <row r="54" spans="1:18" x14ac:dyDescent="0.35">
      <c r="A54" s="1">
        <v>45962</v>
      </c>
      <c r="B54" t="s">
        <v>17</v>
      </c>
      <c r="C54">
        <v>1900.5</v>
      </c>
      <c r="D54">
        <v>79.2</v>
      </c>
      <c r="E54">
        <v>150521</v>
      </c>
      <c r="F54">
        <v>65897</v>
      </c>
      <c r="G54">
        <v>30750</v>
      </c>
      <c r="H54">
        <v>53873</v>
      </c>
      <c r="I54">
        <v>8287</v>
      </c>
      <c r="J54">
        <v>6.2799999999999995E-2</v>
      </c>
      <c r="K54">
        <v>10</v>
      </c>
      <c r="L54">
        <v>0.98609999999999998</v>
      </c>
      <c r="M54" t="s">
        <v>113</v>
      </c>
      <c r="N54" t="s">
        <v>18</v>
      </c>
      <c r="O54" t="s">
        <v>15</v>
      </c>
      <c r="P54" t="s">
        <v>19</v>
      </c>
      <c r="Q54">
        <v>42</v>
      </c>
      <c r="R54" t="s">
        <v>12</v>
      </c>
    </row>
    <row r="55" spans="1:18" x14ac:dyDescent="0.35">
      <c r="A55" s="1">
        <v>45962</v>
      </c>
      <c r="B55" t="s">
        <v>20</v>
      </c>
      <c r="C55">
        <v>15176.6</v>
      </c>
      <c r="D55">
        <v>50.49</v>
      </c>
      <c r="E55">
        <v>766295</v>
      </c>
      <c r="F55">
        <v>330202</v>
      </c>
      <c r="G55">
        <v>67600</v>
      </c>
      <c r="H55">
        <v>368492</v>
      </c>
      <c r="I55">
        <v>74200</v>
      </c>
      <c r="J55">
        <v>0.3513</v>
      </c>
      <c r="K55">
        <v>6</v>
      </c>
      <c r="L55">
        <v>0.99170000000000003</v>
      </c>
      <c r="M55" t="s">
        <v>113</v>
      </c>
      <c r="N55" t="s">
        <v>21</v>
      </c>
      <c r="O55" t="s">
        <v>22</v>
      </c>
      <c r="P55" t="s">
        <v>23</v>
      </c>
      <c r="Q55">
        <v>60</v>
      </c>
      <c r="R55" t="s">
        <v>24</v>
      </c>
    </row>
    <row r="56" spans="1:18" x14ac:dyDescent="0.35">
      <c r="A56" s="1">
        <v>45962</v>
      </c>
      <c r="B56" t="s">
        <v>25</v>
      </c>
      <c r="C56">
        <v>2874.9</v>
      </c>
      <c r="D56">
        <v>117.02</v>
      </c>
      <c r="E56">
        <v>336418</v>
      </c>
      <c r="F56">
        <v>952506</v>
      </c>
      <c r="G56">
        <v>100700</v>
      </c>
      <c r="H56">
        <v>-716788</v>
      </c>
      <c r="I56">
        <v>676000</v>
      </c>
      <c r="J56">
        <v>0.1996</v>
      </c>
      <c r="K56">
        <v>53</v>
      </c>
      <c r="L56">
        <v>0.9264</v>
      </c>
      <c r="M56" t="s">
        <v>113</v>
      </c>
      <c r="N56" t="s">
        <v>26</v>
      </c>
      <c r="O56" t="s">
        <v>27</v>
      </c>
      <c r="P56" t="s">
        <v>28</v>
      </c>
      <c r="Q56">
        <v>25</v>
      </c>
      <c r="R56" t="s">
        <v>29</v>
      </c>
    </row>
    <row r="57" spans="1:18" x14ac:dyDescent="0.35">
      <c r="A57" s="1">
        <v>45992</v>
      </c>
      <c r="B57" t="s">
        <v>8</v>
      </c>
      <c r="C57">
        <v>70531.399999999994</v>
      </c>
      <c r="D57">
        <v>83.03</v>
      </c>
      <c r="E57">
        <v>5855922</v>
      </c>
      <c r="F57">
        <v>1256702</v>
      </c>
      <c r="G57">
        <v>156000</v>
      </c>
      <c r="H57">
        <v>4443220</v>
      </c>
      <c r="I57">
        <v>61200</v>
      </c>
      <c r="J57">
        <v>0.52669999999999995</v>
      </c>
      <c r="K57">
        <v>6</v>
      </c>
      <c r="L57">
        <v>0.9919</v>
      </c>
      <c r="M57" t="s">
        <v>113</v>
      </c>
      <c r="N57" t="s">
        <v>9</v>
      </c>
      <c r="O57" t="s">
        <v>10</v>
      </c>
      <c r="P57" t="s">
        <v>11</v>
      </c>
      <c r="Q57">
        <v>180</v>
      </c>
      <c r="R57" t="s">
        <v>12</v>
      </c>
    </row>
    <row r="58" spans="1:18" x14ac:dyDescent="0.35">
      <c r="A58" s="1">
        <v>45992</v>
      </c>
      <c r="B58" t="s">
        <v>13</v>
      </c>
      <c r="C58">
        <v>2873</v>
      </c>
      <c r="D58">
        <v>84.75</v>
      </c>
      <c r="E58">
        <v>243480</v>
      </c>
      <c r="F58">
        <v>105628</v>
      </c>
      <c r="G58">
        <v>43050</v>
      </c>
      <c r="H58">
        <v>94801</v>
      </c>
      <c r="I58">
        <v>8784</v>
      </c>
      <c r="J58">
        <v>5.1499999999999997E-2</v>
      </c>
      <c r="K58">
        <v>2</v>
      </c>
      <c r="L58">
        <v>0.99729999999999996</v>
      </c>
      <c r="M58" t="s">
        <v>113</v>
      </c>
      <c r="N58" t="s">
        <v>14</v>
      </c>
      <c r="O58" t="s">
        <v>15</v>
      </c>
      <c r="P58" t="s">
        <v>16</v>
      </c>
      <c r="Q58">
        <v>75</v>
      </c>
      <c r="R58" t="s">
        <v>12</v>
      </c>
    </row>
    <row r="59" spans="1:18" x14ac:dyDescent="0.35">
      <c r="A59" s="1">
        <v>45992</v>
      </c>
      <c r="B59" t="s">
        <v>17</v>
      </c>
      <c r="C59">
        <v>1593.9</v>
      </c>
      <c r="D59">
        <v>83.73</v>
      </c>
      <c r="E59">
        <v>133451</v>
      </c>
      <c r="F59">
        <v>62945</v>
      </c>
      <c r="G59">
        <v>30750</v>
      </c>
      <c r="H59">
        <v>39756</v>
      </c>
      <c r="I59">
        <v>8412</v>
      </c>
      <c r="J59">
        <v>5.0999999999999997E-2</v>
      </c>
      <c r="K59">
        <v>2</v>
      </c>
      <c r="L59">
        <v>0.99729999999999996</v>
      </c>
      <c r="M59" t="s">
        <v>113</v>
      </c>
      <c r="N59" t="s">
        <v>18</v>
      </c>
      <c r="O59" t="s">
        <v>15</v>
      </c>
      <c r="P59" t="s">
        <v>19</v>
      </c>
      <c r="Q59">
        <v>42</v>
      </c>
      <c r="R59" t="s">
        <v>12</v>
      </c>
    </row>
    <row r="60" spans="1:18" x14ac:dyDescent="0.35">
      <c r="A60" s="1">
        <v>45992</v>
      </c>
      <c r="B60" t="s">
        <v>20</v>
      </c>
      <c r="C60">
        <v>15760.7</v>
      </c>
      <c r="D60">
        <v>47.88</v>
      </c>
      <c r="E60">
        <v>754550</v>
      </c>
      <c r="F60">
        <v>332033</v>
      </c>
      <c r="G60">
        <v>67600</v>
      </c>
      <c r="H60">
        <v>354917</v>
      </c>
      <c r="I60">
        <v>74200</v>
      </c>
      <c r="J60">
        <v>0.35310000000000002</v>
      </c>
      <c r="K60">
        <v>14</v>
      </c>
      <c r="L60">
        <v>0.98119999999999996</v>
      </c>
      <c r="M60" t="s">
        <v>113</v>
      </c>
      <c r="N60" t="s">
        <v>21</v>
      </c>
      <c r="O60" t="s">
        <v>22</v>
      </c>
      <c r="P60" t="s">
        <v>23</v>
      </c>
      <c r="Q60">
        <v>60</v>
      </c>
      <c r="R60" t="s">
        <v>24</v>
      </c>
    </row>
    <row r="61" spans="1:18" x14ac:dyDescent="0.35">
      <c r="A61" s="1">
        <v>45992</v>
      </c>
      <c r="B61" t="s">
        <v>25</v>
      </c>
      <c r="C61">
        <v>3175.9</v>
      </c>
      <c r="D61">
        <v>118.01</v>
      </c>
      <c r="E61">
        <v>374787</v>
      </c>
      <c r="F61">
        <v>987143</v>
      </c>
      <c r="G61">
        <v>100700</v>
      </c>
      <c r="H61">
        <v>-713056</v>
      </c>
      <c r="I61">
        <v>676000</v>
      </c>
      <c r="J61">
        <v>0.21340000000000001</v>
      </c>
      <c r="K61">
        <v>30</v>
      </c>
      <c r="L61">
        <v>0.9597</v>
      </c>
      <c r="M61" t="s">
        <v>113</v>
      </c>
      <c r="N61" t="s">
        <v>26</v>
      </c>
      <c r="O61" t="s">
        <v>27</v>
      </c>
      <c r="P61" t="s">
        <v>28</v>
      </c>
      <c r="Q61">
        <v>25</v>
      </c>
      <c r="R61" t="s">
        <v>29</v>
      </c>
    </row>
    <row r="62" spans="1:18" x14ac:dyDescent="0.35">
      <c r="A62" s="1">
        <v>46023</v>
      </c>
      <c r="B62" t="s">
        <v>8</v>
      </c>
      <c r="C62">
        <v>65041.3</v>
      </c>
      <c r="D62">
        <v>85.07</v>
      </c>
      <c r="E62">
        <v>5532814</v>
      </c>
      <c r="F62">
        <v>1252241</v>
      </c>
      <c r="G62">
        <v>156000</v>
      </c>
      <c r="H62">
        <v>4124572</v>
      </c>
      <c r="I62">
        <v>61200</v>
      </c>
      <c r="J62">
        <v>0.48570000000000002</v>
      </c>
      <c r="K62">
        <v>10</v>
      </c>
      <c r="L62">
        <v>0.98660000000000003</v>
      </c>
      <c r="M62" t="s">
        <v>113</v>
      </c>
      <c r="N62" t="s">
        <v>9</v>
      </c>
      <c r="O62" t="s">
        <v>10</v>
      </c>
      <c r="P62" t="s">
        <v>11</v>
      </c>
      <c r="Q62">
        <v>180</v>
      </c>
      <c r="R62" t="s">
        <v>12</v>
      </c>
    </row>
    <row r="63" spans="1:18" x14ac:dyDescent="0.35">
      <c r="A63" s="1">
        <v>46023</v>
      </c>
      <c r="B63" t="s">
        <v>13</v>
      </c>
      <c r="C63">
        <v>3229.2</v>
      </c>
      <c r="D63">
        <v>82.8</v>
      </c>
      <c r="E63">
        <v>267367</v>
      </c>
      <c r="F63">
        <v>106186</v>
      </c>
      <c r="G63">
        <v>43050</v>
      </c>
      <c r="H63">
        <v>118131</v>
      </c>
      <c r="I63">
        <v>8354</v>
      </c>
      <c r="J63">
        <v>5.79E-2</v>
      </c>
      <c r="K63">
        <v>4</v>
      </c>
      <c r="L63">
        <v>0.99460000000000004</v>
      </c>
      <c r="M63" t="s">
        <v>113</v>
      </c>
      <c r="N63" t="s">
        <v>14</v>
      </c>
      <c r="O63" t="s">
        <v>15</v>
      </c>
      <c r="P63" t="s">
        <v>16</v>
      </c>
      <c r="Q63">
        <v>75</v>
      </c>
      <c r="R63" t="s">
        <v>12</v>
      </c>
    </row>
    <row r="64" spans="1:18" x14ac:dyDescent="0.35">
      <c r="A64" s="1">
        <v>46023</v>
      </c>
      <c r="B64" t="s">
        <v>17</v>
      </c>
      <c r="C64">
        <v>1666.6</v>
      </c>
      <c r="D64">
        <v>79.260000000000005</v>
      </c>
      <c r="E64">
        <v>132098</v>
      </c>
      <c r="F64">
        <v>63794</v>
      </c>
      <c r="G64">
        <v>30750</v>
      </c>
      <c r="H64">
        <v>37554</v>
      </c>
      <c r="I64">
        <v>8853</v>
      </c>
      <c r="J64">
        <v>5.33E-2</v>
      </c>
      <c r="K64">
        <v>2</v>
      </c>
      <c r="L64">
        <v>0.99729999999999996</v>
      </c>
      <c r="M64" t="s">
        <v>113</v>
      </c>
      <c r="N64" t="s">
        <v>18</v>
      </c>
      <c r="O64" t="s">
        <v>15</v>
      </c>
      <c r="P64" t="s">
        <v>19</v>
      </c>
      <c r="Q64">
        <v>42</v>
      </c>
      <c r="R64" t="s">
        <v>12</v>
      </c>
    </row>
    <row r="65" spans="1:18" x14ac:dyDescent="0.35">
      <c r="A65" s="1">
        <v>46023</v>
      </c>
      <c r="B65" t="s">
        <v>20</v>
      </c>
      <c r="C65">
        <v>16969.3</v>
      </c>
      <c r="D65">
        <v>53.32</v>
      </c>
      <c r="E65">
        <v>904889</v>
      </c>
      <c r="F65">
        <v>321723</v>
      </c>
      <c r="G65">
        <v>67600</v>
      </c>
      <c r="H65">
        <v>515567</v>
      </c>
      <c r="I65">
        <v>74200</v>
      </c>
      <c r="J65">
        <v>0.38009999999999999</v>
      </c>
      <c r="K65">
        <v>14</v>
      </c>
      <c r="L65">
        <v>0.98119999999999996</v>
      </c>
      <c r="M65" t="s">
        <v>113</v>
      </c>
      <c r="N65" t="s">
        <v>21</v>
      </c>
      <c r="O65" t="s">
        <v>22</v>
      </c>
      <c r="P65" t="s">
        <v>23</v>
      </c>
      <c r="Q65">
        <v>60</v>
      </c>
      <c r="R65" t="s">
        <v>24</v>
      </c>
    </row>
    <row r="66" spans="1:18" x14ac:dyDescent="0.35">
      <c r="A66" s="1">
        <v>46023</v>
      </c>
      <c r="B66" t="s">
        <v>25</v>
      </c>
      <c r="C66">
        <v>4225.7</v>
      </c>
      <c r="D66">
        <v>116.86</v>
      </c>
      <c r="E66">
        <v>493810</v>
      </c>
      <c r="F66">
        <v>967397</v>
      </c>
      <c r="G66">
        <v>100700</v>
      </c>
      <c r="H66">
        <v>-574287</v>
      </c>
      <c r="I66">
        <v>483000</v>
      </c>
      <c r="J66">
        <v>0.28399999999999997</v>
      </c>
      <c r="K66">
        <v>36</v>
      </c>
      <c r="L66">
        <v>0.9516</v>
      </c>
      <c r="M66" t="s">
        <v>113</v>
      </c>
      <c r="N66" t="s">
        <v>26</v>
      </c>
      <c r="O66" t="s">
        <v>27</v>
      </c>
      <c r="P66" t="s">
        <v>28</v>
      </c>
      <c r="Q66">
        <v>25</v>
      </c>
      <c r="R66" t="s">
        <v>29</v>
      </c>
    </row>
    <row r="67" spans="1:18" x14ac:dyDescent="0.35">
      <c r="A67" s="1">
        <v>46054</v>
      </c>
      <c r="B67" t="s">
        <v>8</v>
      </c>
      <c r="C67">
        <v>54611</v>
      </c>
      <c r="D67">
        <v>80.72</v>
      </c>
      <c r="E67">
        <v>4407942</v>
      </c>
      <c r="F67">
        <v>1319164</v>
      </c>
      <c r="G67">
        <v>156000</v>
      </c>
      <c r="H67">
        <v>2932778</v>
      </c>
      <c r="I67">
        <v>69000</v>
      </c>
      <c r="J67">
        <v>0.45150000000000001</v>
      </c>
      <c r="K67">
        <v>34</v>
      </c>
      <c r="L67">
        <v>0.94940000000000002</v>
      </c>
      <c r="M67" t="s">
        <v>113</v>
      </c>
      <c r="N67" t="s">
        <v>9</v>
      </c>
      <c r="O67" t="s">
        <v>10</v>
      </c>
      <c r="P67" t="s">
        <v>11</v>
      </c>
      <c r="Q67">
        <v>180</v>
      </c>
      <c r="R67" t="s">
        <v>12</v>
      </c>
    </row>
    <row r="68" spans="1:18" x14ac:dyDescent="0.35">
      <c r="A68" s="1">
        <v>46054</v>
      </c>
      <c r="B68" t="s">
        <v>13</v>
      </c>
      <c r="C68">
        <v>4231.3</v>
      </c>
      <c r="D68">
        <v>75.16</v>
      </c>
      <c r="E68">
        <v>318027</v>
      </c>
      <c r="F68">
        <v>109562</v>
      </c>
      <c r="G68">
        <v>43050</v>
      </c>
      <c r="H68">
        <v>165415</v>
      </c>
      <c r="I68">
        <v>7531</v>
      </c>
      <c r="J68">
        <v>8.4000000000000005E-2</v>
      </c>
      <c r="K68">
        <v>6</v>
      </c>
      <c r="L68">
        <v>0.99109999999999998</v>
      </c>
      <c r="M68" t="s">
        <v>113</v>
      </c>
      <c r="N68" t="s">
        <v>14</v>
      </c>
      <c r="O68" t="s">
        <v>15</v>
      </c>
      <c r="P68" t="s">
        <v>16</v>
      </c>
      <c r="Q68">
        <v>75</v>
      </c>
      <c r="R68" t="s">
        <v>12</v>
      </c>
    </row>
    <row r="69" spans="1:18" x14ac:dyDescent="0.35">
      <c r="A69" s="1">
        <v>46054</v>
      </c>
      <c r="B69" t="s">
        <v>17</v>
      </c>
      <c r="C69">
        <v>2220.4</v>
      </c>
      <c r="D69">
        <v>77.349999999999994</v>
      </c>
      <c r="E69">
        <v>171751</v>
      </c>
      <c r="F69">
        <v>66376</v>
      </c>
      <c r="G69">
        <v>30750</v>
      </c>
      <c r="H69">
        <v>74625</v>
      </c>
      <c r="I69">
        <v>7686</v>
      </c>
      <c r="J69">
        <v>7.8700000000000006E-2</v>
      </c>
      <c r="K69">
        <v>6</v>
      </c>
      <c r="L69">
        <v>0.99109999999999998</v>
      </c>
      <c r="M69" t="s">
        <v>113</v>
      </c>
      <c r="N69" t="s">
        <v>18</v>
      </c>
      <c r="O69" t="s">
        <v>15</v>
      </c>
      <c r="P69" t="s">
        <v>19</v>
      </c>
      <c r="Q69">
        <v>42</v>
      </c>
      <c r="R69" t="s">
        <v>12</v>
      </c>
    </row>
    <row r="70" spans="1:18" x14ac:dyDescent="0.35">
      <c r="A70" s="1">
        <v>46054</v>
      </c>
      <c r="B70" t="s">
        <v>20</v>
      </c>
      <c r="C70">
        <v>17015.7</v>
      </c>
      <c r="D70">
        <v>49.13</v>
      </c>
      <c r="E70">
        <v>836021</v>
      </c>
      <c r="F70">
        <v>323487</v>
      </c>
      <c r="G70">
        <v>67600</v>
      </c>
      <c r="H70">
        <v>444935</v>
      </c>
      <c r="I70">
        <v>74200</v>
      </c>
      <c r="J70">
        <v>0.42199999999999999</v>
      </c>
      <c r="K70">
        <v>18</v>
      </c>
      <c r="L70">
        <v>0.97319999999999995</v>
      </c>
      <c r="M70" t="s">
        <v>113</v>
      </c>
      <c r="N70" t="s">
        <v>21</v>
      </c>
      <c r="O70" t="s">
        <v>22</v>
      </c>
      <c r="P70" t="s">
        <v>23</v>
      </c>
      <c r="Q70">
        <v>60</v>
      </c>
      <c r="R70" t="s">
        <v>24</v>
      </c>
    </row>
    <row r="71" spans="1:18" x14ac:dyDescent="0.35">
      <c r="A71" s="1">
        <v>46054</v>
      </c>
      <c r="B71" t="s">
        <v>25</v>
      </c>
      <c r="C71">
        <v>3976.5</v>
      </c>
      <c r="D71">
        <v>118.8</v>
      </c>
      <c r="E71">
        <v>472407</v>
      </c>
      <c r="F71">
        <v>942960</v>
      </c>
      <c r="G71">
        <v>100700</v>
      </c>
      <c r="H71">
        <v>-571254</v>
      </c>
      <c r="I71">
        <v>483000</v>
      </c>
      <c r="J71">
        <v>0.2959</v>
      </c>
      <c r="K71">
        <v>24</v>
      </c>
      <c r="L71">
        <v>0.96430000000000005</v>
      </c>
      <c r="M71" t="s">
        <v>113</v>
      </c>
      <c r="N71" t="s">
        <v>26</v>
      </c>
      <c r="O71" t="s">
        <v>27</v>
      </c>
      <c r="P71" t="s">
        <v>28</v>
      </c>
      <c r="Q71">
        <v>25</v>
      </c>
      <c r="R71" t="s">
        <v>29</v>
      </c>
    </row>
    <row r="72" spans="1:18" x14ac:dyDescent="0.35">
      <c r="A72" s="1">
        <v>46082</v>
      </c>
      <c r="B72" t="s">
        <v>8</v>
      </c>
      <c r="C72">
        <v>58942.2</v>
      </c>
      <c r="D72">
        <v>76.66</v>
      </c>
      <c r="E72">
        <v>4518724</v>
      </c>
      <c r="F72">
        <v>1170352</v>
      </c>
      <c r="G72">
        <v>156000</v>
      </c>
      <c r="H72">
        <v>3192372</v>
      </c>
      <c r="I72">
        <v>61200</v>
      </c>
      <c r="J72">
        <v>0.44009999999999999</v>
      </c>
      <c r="K72">
        <v>6</v>
      </c>
      <c r="L72">
        <v>0.9919</v>
      </c>
      <c r="M72" t="s">
        <v>113</v>
      </c>
      <c r="N72" t="s">
        <v>9</v>
      </c>
      <c r="O72" t="s">
        <v>10</v>
      </c>
      <c r="P72" t="s">
        <v>11</v>
      </c>
      <c r="Q72">
        <v>180</v>
      </c>
      <c r="R72" t="s">
        <v>12</v>
      </c>
    </row>
    <row r="73" spans="1:18" x14ac:dyDescent="0.35">
      <c r="A73" s="1">
        <v>46082</v>
      </c>
      <c r="B73" t="s">
        <v>13</v>
      </c>
      <c r="C73">
        <v>6940.5</v>
      </c>
      <c r="D73">
        <v>71.75</v>
      </c>
      <c r="E73">
        <v>497996</v>
      </c>
      <c r="F73">
        <v>118797</v>
      </c>
      <c r="G73">
        <v>43050</v>
      </c>
      <c r="H73">
        <v>336149</v>
      </c>
      <c r="I73">
        <v>32047</v>
      </c>
      <c r="J73">
        <v>0.1244</v>
      </c>
      <c r="K73">
        <v>4</v>
      </c>
      <c r="L73">
        <v>0.99460000000000004</v>
      </c>
      <c r="M73" t="s">
        <v>113</v>
      </c>
      <c r="N73" t="s">
        <v>14</v>
      </c>
      <c r="O73" t="s">
        <v>15</v>
      </c>
      <c r="P73" t="s">
        <v>16</v>
      </c>
      <c r="Q73">
        <v>75</v>
      </c>
      <c r="R73" t="s">
        <v>12</v>
      </c>
    </row>
    <row r="74" spans="1:18" x14ac:dyDescent="0.35">
      <c r="A74" s="1">
        <v>46082</v>
      </c>
      <c r="B74" t="s">
        <v>17</v>
      </c>
      <c r="C74">
        <v>3798</v>
      </c>
      <c r="D74">
        <v>69.489999999999995</v>
      </c>
      <c r="E74">
        <v>263910</v>
      </c>
      <c r="F74">
        <v>71819</v>
      </c>
      <c r="G74">
        <v>30750</v>
      </c>
      <c r="H74">
        <v>161342</v>
      </c>
      <c r="I74">
        <v>31746</v>
      </c>
      <c r="J74">
        <v>0.1215</v>
      </c>
      <c r="K74">
        <v>6</v>
      </c>
      <c r="L74">
        <v>0.9919</v>
      </c>
      <c r="M74" t="s">
        <v>113</v>
      </c>
      <c r="N74" t="s">
        <v>18</v>
      </c>
      <c r="O74" t="s">
        <v>15</v>
      </c>
      <c r="P74" t="s">
        <v>19</v>
      </c>
      <c r="Q74">
        <v>42</v>
      </c>
      <c r="R74" t="s">
        <v>12</v>
      </c>
    </row>
    <row r="75" spans="1:18" x14ac:dyDescent="0.35">
      <c r="A75" s="1">
        <v>46082</v>
      </c>
      <c r="B75" t="s">
        <v>20</v>
      </c>
      <c r="C75">
        <v>15118.8</v>
      </c>
      <c r="D75">
        <v>43.19</v>
      </c>
      <c r="E75">
        <v>653035</v>
      </c>
      <c r="F75">
        <v>317534</v>
      </c>
      <c r="G75">
        <v>67600</v>
      </c>
      <c r="H75">
        <v>267902</v>
      </c>
      <c r="I75">
        <v>74200</v>
      </c>
      <c r="J75">
        <v>0.3387</v>
      </c>
      <c r="K75">
        <v>26</v>
      </c>
      <c r="L75">
        <v>0.96509999999999996</v>
      </c>
      <c r="M75" t="s">
        <v>113</v>
      </c>
      <c r="N75" t="s">
        <v>21</v>
      </c>
      <c r="O75" t="s">
        <v>22</v>
      </c>
      <c r="P75" t="s">
        <v>23</v>
      </c>
      <c r="Q75">
        <v>60</v>
      </c>
      <c r="R75" t="s">
        <v>24</v>
      </c>
    </row>
    <row r="76" spans="1:18" x14ac:dyDescent="0.35">
      <c r="A76" s="1">
        <v>46082</v>
      </c>
      <c r="B76" t="s">
        <v>25</v>
      </c>
      <c r="C76">
        <v>4766.8</v>
      </c>
      <c r="D76">
        <v>115.66</v>
      </c>
      <c r="E76">
        <v>551331</v>
      </c>
      <c r="F76">
        <v>1007830</v>
      </c>
      <c r="G76">
        <v>100700</v>
      </c>
      <c r="H76">
        <v>-557199</v>
      </c>
      <c r="I76">
        <v>483000</v>
      </c>
      <c r="J76">
        <v>0.32029999999999997</v>
      </c>
      <c r="K76">
        <v>30</v>
      </c>
      <c r="L76">
        <v>0.9597</v>
      </c>
      <c r="M76" t="s">
        <v>113</v>
      </c>
      <c r="N76" t="s">
        <v>26</v>
      </c>
      <c r="O76" t="s">
        <v>27</v>
      </c>
      <c r="P76" t="s">
        <v>28</v>
      </c>
      <c r="Q76">
        <v>25</v>
      </c>
      <c r="R76" t="s">
        <v>29</v>
      </c>
    </row>
    <row r="77" spans="1:18" x14ac:dyDescent="0.35">
      <c r="A77" s="1">
        <v>46113</v>
      </c>
      <c r="B77" t="s">
        <v>8</v>
      </c>
      <c r="C77">
        <v>46722.5</v>
      </c>
      <c r="D77">
        <v>71.400000000000006</v>
      </c>
      <c r="E77">
        <v>3336178</v>
      </c>
      <c r="F77">
        <v>1250825</v>
      </c>
      <c r="G77">
        <v>156000</v>
      </c>
      <c r="H77">
        <v>1929353</v>
      </c>
      <c r="I77">
        <v>255000</v>
      </c>
      <c r="J77">
        <v>0.36049999999999999</v>
      </c>
      <c r="K77">
        <v>20</v>
      </c>
      <c r="L77">
        <v>0.97219999999999995</v>
      </c>
      <c r="M77" t="s">
        <v>113</v>
      </c>
      <c r="N77" t="s">
        <v>9</v>
      </c>
      <c r="O77" t="s">
        <v>10</v>
      </c>
      <c r="P77" t="s">
        <v>11</v>
      </c>
      <c r="Q77">
        <v>180</v>
      </c>
      <c r="R77" t="s">
        <v>12</v>
      </c>
    </row>
    <row r="78" spans="1:18" x14ac:dyDescent="0.35">
      <c r="A78" s="1">
        <v>46113</v>
      </c>
      <c r="B78" t="s">
        <v>13</v>
      </c>
      <c r="C78">
        <v>9089</v>
      </c>
      <c r="D78">
        <v>64.31</v>
      </c>
      <c r="E78">
        <v>584498</v>
      </c>
      <c r="F78">
        <v>125082</v>
      </c>
      <c r="G78">
        <v>43050</v>
      </c>
      <c r="H78">
        <v>416366</v>
      </c>
      <c r="I78">
        <v>7524</v>
      </c>
      <c r="J78">
        <v>0.16830000000000001</v>
      </c>
      <c r="K78">
        <v>2</v>
      </c>
      <c r="L78">
        <v>0.99719999999999998</v>
      </c>
      <c r="M78" t="s">
        <v>113</v>
      </c>
      <c r="N78" t="s">
        <v>14</v>
      </c>
      <c r="O78" t="s">
        <v>15</v>
      </c>
      <c r="P78" t="s">
        <v>16</v>
      </c>
      <c r="Q78">
        <v>75</v>
      </c>
      <c r="R78" t="s">
        <v>12</v>
      </c>
    </row>
    <row r="79" spans="1:18" x14ac:dyDescent="0.35">
      <c r="A79" s="1">
        <v>46113</v>
      </c>
      <c r="B79" t="s">
        <v>17</v>
      </c>
      <c r="C79">
        <v>5097.3999999999996</v>
      </c>
      <c r="D79">
        <v>66.45</v>
      </c>
      <c r="E79">
        <v>338715</v>
      </c>
      <c r="F79">
        <v>75393</v>
      </c>
      <c r="G79">
        <v>30750</v>
      </c>
      <c r="H79">
        <v>232571</v>
      </c>
      <c r="I79">
        <v>7739</v>
      </c>
      <c r="J79">
        <v>0.1686</v>
      </c>
      <c r="K79">
        <v>6</v>
      </c>
      <c r="L79">
        <v>0.99170000000000003</v>
      </c>
      <c r="M79" t="s">
        <v>113</v>
      </c>
      <c r="N79" t="s">
        <v>18</v>
      </c>
      <c r="O79" t="s">
        <v>15</v>
      </c>
      <c r="P79" t="s">
        <v>19</v>
      </c>
      <c r="Q79">
        <v>42</v>
      </c>
      <c r="R79" t="s">
        <v>12</v>
      </c>
    </row>
    <row r="80" spans="1:18" x14ac:dyDescent="0.35">
      <c r="A80" s="1">
        <v>46113</v>
      </c>
      <c r="B80" t="s">
        <v>20</v>
      </c>
      <c r="C80">
        <v>16874.400000000001</v>
      </c>
      <c r="D80">
        <v>49.82</v>
      </c>
      <c r="E80">
        <v>840626</v>
      </c>
      <c r="F80">
        <v>319297</v>
      </c>
      <c r="G80">
        <v>67600</v>
      </c>
      <c r="H80">
        <v>453728</v>
      </c>
      <c r="I80">
        <v>74200</v>
      </c>
      <c r="J80">
        <v>0.3906</v>
      </c>
      <c r="K80">
        <v>10</v>
      </c>
      <c r="L80">
        <v>0.98609999999999998</v>
      </c>
      <c r="M80" t="s">
        <v>113</v>
      </c>
      <c r="N80" t="s">
        <v>21</v>
      </c>
      <c r="O80" t="s">
        <v>22</v>
      </c>
      <c r="P80" t="s">
        <v>23</v>
      </c>
      <c r="Q80">
        <v>60</v>
      </c>
      <c r="R80" t="s">
        <v>24</v>
      </c>
    </row>
    <row r="81" spans="1:18" x14ac:dyDescent="0.35">
      <c r="A81" s="1">
        <v>46113</v>
      </c>
      <c r="B81" t="s">
        <v>25</v>
      </c>
      <c r="C81">
        <v>4962.5</v>
      </c>
      <c r="D81">
        <v>115.15</v>
      </c>
      <c r="E81">
        <v>571440</v>
      </c>
      <c r="F81">
        <v>1011858</v>
      </c>
      <c r="G81">
        <v>100700</v>
      </c>
      <c r="H81">
        <v>-541118</v>
      </c>
      <c r="I81">
        <v>436800</v>
      </c>
      <c r="J81">
        <v>0.34460000000000002</v>
      </c>
      <c r="K81">
        <v>36</v>
      </c>
      <c r="L81">
        <v>0.95</v>
      </c>
      <c r="M81" t="s">
        <v>113</v>
      </c>
      <c r="N81" t="s">
        <v>26</v>
      </c>
      <c r="O81" t="s">
        <v>27</v>
      </c>
      <c r="P81" t="s">
        <v>28</v>
      </c>
      <c r="Q81">
        <v>25</v>
      </c>
      <c r="R81" t="s">
        <v>29</v>
      </c>
    </row>
    <row r="82" spans="1:18" x14ac:dyDescent="0.35">
      <c r="A82" s="1">
        <v>46143</v>
      </c>
      <c r="B82" t="s">
        <v>8</v>
      </c>
      <c r="C82">
        <v>44455.7</v>
      </c>
      <c r="D82">
        <v>64.459999999999994</v>
      </c>
      <c r="E82">
        <v>2865449</v>
      </c>
      <c r="F82">
        <v>1086295</v>
      </c>
      <c r="G82">
        <v>156000</v>
      </c>
      <c r="H82">
        <v>1623154</v>
      </c>
      <c r="I82">
        <v>61200</v>
      </c>
      <c r="J82">
        <v>0.33200000000000002</v>
      </c>
      <c r="K82">
        <v>14</v>
      </c>
      <c r="L82">
        <v>0.98119999999999996</v>
      </c>
      <c r="M82" t="s">
        <v>113</v>
      </c>
      <c r="N82" t="s">
        <v>9</v>
      </c>
      <c r="O82" t="s">
        <v>10</v>
      </c>
      <c r="P82" t="s">
        <v>11</v>
      </c>
      <c r="Q82">
        <v>180</v>
      </c>
      <c r="R82" t="s">
        <v>12</v>
      </c>
    </row>
    <row r="83" spans="1:18" x14ac:dyDescent="0.35">
      <c r="A83" s="1">
        <v>46143</v>
      </c>
      <c r="B83" t="s">
        <v>13</v>
      </c>
      <c r="C83">
        <v>10888.2</v>
      </c>
      <c r="D83">
        <v>56.44</v>
      </c>
      <c r="E83">
        <v>614497</v>
      </c>
      <c r="F83">
        <v>133813</v>
      </c>
      <c r="G83">
        <v>43050</v>
      </c>
      <c r="H83">
        <v>437634</v>
      </c>
      <c r="I83">
        <v>7422</v>
      </c>
      <c r="J83">
        <v>0.1951</v>
      </c>
      <c r="K83">
        <v>4</v>
      </c>
      <c r="L83">
        <v>0.99460000000000004</v>
      </c>
      <c r="M83" t="s">
        <v>113</v>
      </c>
      <c r="N83" t="s">
        <v>14</v>
      </c>
      <c r="O83" t="s">
        <v>15</v>
      </c>
      <c r="P83" t="s">
        <v>16</v>
      </c>
      <c r="Q83">
        <v>75</v>
      </c>
      <c r="R83" t="s">
        <v>12</v>
      </c>
    </row>
    <row r="84" spans="1:18" x14ac:dyDescent="0.35">
      <c r="A84" s="1">
        <v>46143</v>
      </c>
      <c r="B84" t="s">
        <v>17</v>
      </c>
      <c r="C84">
        <v>6120.1</v>
      </c>
      <c r="D84">
        <v>56.83</v>
      </c>
      <c r="E84">
        <v>347786</v>
      </c>
      <c r="F84">
        <v>79008</v>
      </c>
      <c r="G84">
        <v>30750</v>
      </c>
      <c r="H84">
        <v>238028</v>
      </c>
      <c r="I84">
        <v>7848</v>
      </c>
      <c r="J84">
        <v>0.19589999999999999</v>
      </c>
      <c r="K84">
        <v>6</v>
      </c>
      <c r="L84">
        <v>0.9919</v>
      </c>
      <c r="M84" t="s">
        <v>113</v>
      </c>
      <c r="N84" t="s">
        <v>18</v>
      </c>
      <c r="O84" t="s">
        <v>15</v>
      </c>
      <c r="P84" t="s">
        <v>19</v>
      </c>
      <c r="Q84">
        <v>42</v>
      </c>
      <c r="R84" t="s">
        <v>12</v>
      </c>
    </row>
    <row r="85" spans="1:18" x14ac:dyDescent="0.35">
      <c r="A85" s="1">
        <v>46143</v>
      </c>
      <c r="B85" t="s">
        <v>20</v>
      </c>
      <c r="C85">
        <v>18926.900000000001</v>
      </c>
      <c r="D85">
        <v>46.29</v>
      </c>
      <c r="E85">
        <v>876095</v>
      </c>
      <c r="F85">
        <v>321061</v>
      </c>
      <c r="G85">
        <v>67600</v>
      </c>
      <c r="H85">
        <v>487433</v>
      </c>
      <c r="I85">
        <v>74200</v>
      </c>
      <c r="J85">
        <v>0.42399999999999999</v>
      </c>
      <c r="K85">
        <v>6</v>
      </c>
      <c r="L85">
        <v>0.9919</v>
      </c>
      <c r="M85" t="s">
        <v>113</v>
      </c>
      <c r="N85" t="s">
        <v>21</v>
      </c>
      <c r="O85" t="s">
        <v>22</v>
      </c>
      <c r="P85" t="s">
        <v>23</v>
      </c>
      <c r="Q85">
        <v>60</v>
      </c>
      <c r="R85" t="s">
        <v>24</v>
      </c>
    </row>
    <row r="86" spans="1:18" x14ac:dyDescent="0.35">
      <c r="A86" s="1">
        <v>46143</v>
      </c>
      <c r="B86" t="s">
        <v>25</v>
      </c>
      <c r="C86">
        <v>5210.3999999999996</v>
      </c>
      <c r="D86">
        <v>116.7</v>
      </c>
      <c r="E86">
        <v>608029</v>
      </c>
      <c r="F86">
        <v>1048263</v>
      </c>
      <c r="G86">
        <v>100700</v>
      </c>
      <c r="H86">
        <v>-540934</v>
      </c>
      <c r="I86">
        <v>436800</v>
      </c>
      <c r="J86">
        <v>0.35020000000000001</v>
      </c>
      <c r="K86">
        <v>59</v>
      </c>
      <c r="L86">
        <v>0.92069999999999996</v>
      </c>
      <c r="M86" t="s">
        <v>113</v>
      </c>
      <c r="N86" t="s">
        <v>26</v>
      </c>
      <c r="O86" t="s">
        <v>27</v>
      </c>
      <c r="P86" t="s">
        <v>28</v>
      </c>
      <c r="Q86">
        <v>25</v>
      </c>
      <c r="R86" t="s">
        <v>29</v>
      </c>
    </row>
    <row r="87" spans="1:18" x14ac:dyDescent="0.35">
      <c r="A87" s="1">
        <v>46174</v>
      </c>
      <c r="B87" t="s">
        <v>8</v>
      </c>
      <c r="C87">
        <v>40163.4</v>
      </c>
      <c r="D87">
        <v>58.4</v>
      </c>
      <c r="E87">
        <v>2345717</v>
      </c>
      <c r="F87">
        <v>1032320</v>
      </c>
      <c r="G87">
        <v>156000</v>
      </c>
      <c r="H87">
        <v>1157398</v>
      </c>
      <c r="I87">
        <v>61200</v>
      </c>
      <c r="J87">
        <v>0.30990000000000001</v>
      </c>
      <c r="K87">
        <v>6</v>
      </c>
      <c r="L87">
        <v>0.99170000000000003</v>
      </c>
      <c r="M87" t="s">
        <v>113</v>
      </c>
      <c r="N87" t="s">
        <v>9</v>
      </c>
      <c r="O87" t="s">
        <v>10</v>
      </c>
      <c r="P87" t="s">
        <v>11</v>
      </c>
      <c r="Q87">
        <v>180</v>
      </c>
      <c r="R87" t="s">
        <v>12</v>
      </c>
    </row>
    <row r="88" spans="1:18" x14ac:dyDescent="0.35">
      <c r="A88" s="1">
        <v>46174</v>
      </c>
      <c r="B88" t="s">
        <v>13</v>
      </c>
      <c r="C88">
        <v>12445.8</v>
      </c>
      <c r="D88">
        <v>53.04</v>
      </c>
      <c r="E88">
        <v>660091</v>
      </c>
      <c r="F88">
        <v>136840</v>
      </c>
      <c r="G88">
        <v>43050</v>
      </c>
      <c r="H88">
        <v>480201</v>
      </c>
      <c r="I88">
        <v>7404</v>
      </c>
      <c r="J88">
        <v>0.23050000000000001</v>
      </c>
      <c r="K88">
        <v>6</v>
      </c>
      <c r="L88">
        <v>0.99170000000000003</v>
      </c>
      <c r="M88" t="s">
        <v>113</v>
      </c>
      <c r="N88" t="s">
        <v>14</v>
      </c>
      <c r="O88" t="s">
        <v>15</v>
      </c>
      <c r="P88" t="s">
        <v>16</v>
      </c>
      <c r="Q88">
        <v>75</v>
      </c>
      <c r="R88" t="s">
        <v>12</v>
      </c>
    </row>
    <row r="89" spans="1:18" x14ac:dyDescent="0.35">
      <c r="A89" s="1">
        <v>46174</v>
      </c>
      <c r="B89" t="s">
        <v>17</v>
      </c>
      <c r="C89">
        <v>6650.2</v>
      </c>
      <c r="D89">
        <v>53.41</v>
      </c>
      <c r="E89">
        <v>355198</v>
      </c>
      <c r="F89">
        <v>80362</v>
      </c>
      <c r="G89">
        <v>30750</v>
      </c>
      <c r="H89">
        <v>244086</v>
      </c>
      <c r="I89">
        <v>7533</v>
      </c>
      <c r="J89">
        <v>0.21990000000000001</v>
      </c>
      <c r="K89">
        <v>4</v>
      </c>
      <c r="L89">
        <v>0.99439999999999995</v>
      </c>
      <c r="M89" t="s">
        <v>113</v>
      </c>
      <c r="N89" t="s">
        <v>18</v>
      </c>
      <c r="O89" t="s">
        <v>15</v>
      </c>
      <c r="P89" t="s">
        <v>19</v>
      </c>
      <c r="Q89">
        <v>42</v>
      </c>
      <c r="R89" t="s">
        <v>12</v>
      </c>
    </row>
    <row r="90" spans="1:18" x14ac:dyDescent="0.35">
      <c r="A90" s="1">
        <v>46174</v>
      </c>
      <c r="B90" t="s">
        <v>20</v>
      </c>
      <c r="C90">
        <v>18665.8</v>
      </c>
      <c r="D90">
        <v>51.03</v>
      </c>
      <c r="E90">
        <v>952593</v>
      </c>
      <c r="F90">
        <v>322825</v>
      </c>
      <c r="G90">
        <v>67600</v>
      </c>
      <c r="H90">
        <v>562168</v>
      </c>
      <c r="I90">
        <v>74200</v>
      </c>
      <c r="J90">
        <v>0.43209999999999998</v>
      </c>
      <c r="K90">
        <v>14</v>
      </c>
      <c r="L90">
        <v>0.98060000000000003</v>
      </c>
      <c r="M90" t="s">
        <v>113</v>
      </c>
      <c r="N90" t="s">
        <v>21</v>
      </c>
      <c r="O90" t="s">
        <v>22</v>
      </c>
      <c r="P90" t="s">
        <v>23</v>
      </c>
      <c r="Q90">
        <v>60</v>
      </c>
      <c r="R90" t="s">
        <v>24</v>
      </c>
    </row>
    <row r="91" spans="1:18" x14ac:dyDescent="0.35">
      <c r="A91" s="1">
        <v>46174</v>
      </c>
      <c r="B91" t="s">
        <v>25</v>
      </c>
      <c r="C91">
        <v>5111.6000000000004</v>
      </c>
      <c r="D91">
        <v>119.11</v>
      </c>
      <c r="E91">
        <v>608864</v>
      </c>
      <c r="F91">
        <v>1050987</v>
      </c>
      <c r="G91">
        <v>100700</v>
      </c>
      <c r="H91">
        <v>-542823</v>
      </c>
      <c r="I91">
        <v>436800</v>
      </c>
      <c r="J91">
        <v>0.35499999999999998</v>
      </c>
      <c r="K91">
        <v>24</v>
      </c>
      <c r="L91">
        <v>0.9667</v>
      </c>
      <c r="M91" t="s">
        <v>113</v>
      </c>
      <c r="N91" t="s">
        <v>26</v>
      </c>
      <c r="O91" t="s">
        <v>27</v>
      </c>
      <c r="P91" t="s">
        <v>28</v>
      </c>
      <c r="Q91">
        <v>25</v>
      </c>
      <c r="R91" t="s">
        <v>29</v>
      </c>
    </row>
    <row r="92" spans="1:18" x14ac:dyDescent="0.35">
      <c r="A92" s="1">
        <v>46204</v>
      </c>
      <c r="B92" t="s">
        <v>8</v>
      </c>
      <c r="C92">
        <v>39437.800000000003</v>
      </c>
      <c r="D92">
        <v>56.31</v>
      </c>
      <c r="E92">
        <v>2220609</v>
      </c>
      <c r="F92">
        <v>1003434</v>
      </c>
      <c r="G92">
        <v>156000</v>
      </c>
      <c r="H92">
        <v>1061175</v>
      </c>
      <c r="I92">
        <v>61200</v>
      </c>
      <c r="J92">
        <v>0.29449999999999998</v>
      </c>
      <c r="K92">
        <v>14</v>
      </c>
      <c r="L92">
        <v>0.98119999999999996</v>
      </c>
      <c r="M92" t="s">
        <v>113</v>
      </c>
      <c r="N92" t="s">
        <v>9</v>
      </c>
      <c r="O92" t="s">
        <v>10</v>
      </c>
      <c r="P92" t="s">
        <v>11</v>
      </c>
      <c r="Q92">
        <v>180</v>
      </c>
      <c r="R92" t="s">
        <v>12</v>
      </c>
    </row>
    <row r="93" spans="1:18" x14ac:dyDescent="0.35">
      <c r="A93" s="1">
        <v>46204</v>
      </c>
      <c r="B93" t="s">
        <v>13</v>
      </c>
      <c r="C93">
        <v>12287.1</v>
      </c>
      <c r="D93">
        <v>51.35</v>
      </c>
      <c r="E93">
        <v>630886</v>
      </c>
      <c r="F93">
        <v>139922</v>
      </c>
      <c r="G93">
        <v>43050</v>
      </c>
      <c r="H93">
        <v>447914</v>
      </c>
      <c r="I93">
        <v>8511</v>
      </c>
      <c r="J93">
        <v>0.22020000000000001</v>
      </c>
      <c r="K93">
        <v>6</v>
      </c>
      <c r="L93">
        <v>0.9919</v>
      </c>
      <c r="M93" t="s">
        <v>113</v>
      </c>
      <c r="N93" t="s">
        <v>14</v>
      </c>
      <c r="O93" t="s">
        <v>15</v>
      </c>
      <c r="P93" t="s">
        <v>16</v>
      </c>
      <c r="Q93">
        <v>75</v>
      </c>
      <c r="R93" t="s">
        <v>12</v>
      </c>
    </row>
    <row r="94" spans="1:18" x14ac:dyDescent="0.35">
      <c r="A94" s="1">
        <v>46204</v>
      </c>
      <c r="B94" t="s">
        <v>17</v>
      </c>
      <c r="C94">
        <v>7177.9</v>
      </c>
      <c r="D94">
        <v>48.75</v>
      </c>
      <c r="E94">
        <v>349922</v>
      </c>
      <c r="F94">
        <v>82569</v>
      </c>
      <c r="G94">
        <v>30750</v>
      </c>
      <c r="H94">
        <v>236604</v>
      </c>
      <c r="I94">
        <v>7888</v>
      </c>
      <c r="J94">
        <v>0.22969999999999999</v>
      </c>
      <c r="K94">
        <v>2</v>
      </c>
      <c r="L94">
        <v>0.99729999999999996</v>
      </c>
      <c r="M94" t="s">
        <v>113</v>
      </c>
      <c r="N94" t="s">
        <v>18</v>
      </c>
      <c r="O94" t="s">
        <v>15</v>
      </c>
      <c r="P94" t="s">
        <v>19</v>
      </c>
      <c r="Q94">
        <v>42</v>
      </c>
      <c r="R94" t="s">
        <v>12</v>
      </c>
    </row>
    <row r="95" spans="1:18" x14ac:dyDescent="0.35">
      <c r="A95" s="1">
        <v>46204</v>
      </c>
      <c r="B95" t="s">
        <v>20</v>
      </c>
      <c r="C95">
        <v>18961.3</v>
      </c>
      <c r="D95">
        <v>52.87</v>
      </c>
      <c r="E95">
        <v>1002438</v>
      </c>
      <c r="F95">
        <v>324589</v>
      </c>
      <c r="G95">
        <v>67600</v>
      </c>
      <c r="H95">
        <v>610249</v>
      </c>
      <c r="I95">
        <v>74200</v>
      </c>
      <c r="J95">
        <v>0.42480000000000001</v>
      </c>
      <c r="K95">
        <v>14</v>
      </c>
      <c r="L95">
        <v>0.98119999999999996</v>
      </c>
      <c r="M95" t="s">
        <v>113</v>
      </c>
      <c r="N95" t="s">
        <v>21</v>
      </c>
      <c r="O95" t="s">
        <v>22</v>
      </c>
      <c r="P95" t="s">
        <v>23</v>
      </c>
      <c r="Q95">
        <v>60</v>
      </c>
      <c r="R95" t="s">
        <v>24</v>
      </c>
    </row>
    <row r="96" spans="1:18" x14ac:dyDescent="0.35">
      <c r="A96" s="1">
        <v>46204</v>
      </c>
      <c r="B96" t="s">
        <v>25</v>
      </c>
      <c r="C96">
        <v>6087.9</v>
      </c>
      <c r="D96">
        <v>117.8</v>
      </c>
      <c r="E96">
        <v>717180</v>
      </c>
      <c r="F96">
        <v>1088696</v>
      </c>
      <c r="G96">
        <v>100700</v>
      </c>
      <c r="H96">
        <v>-472216</v>
      </c>
      <c r="I96">
        <v>436800</v>
      </c>
      <c r="J96">
        <v>0.40910000000000002</v>
      </c>
      <c r="K96">
        <v>36</v>
      </c>
      <c r="L96">
        <v>0.9516</v>
      </c>
      <c r="M96" t="s">
        <v>113</v>
      </c>
      <c r="N96" t="s">
        <v>26</v>
      </c>
      <c r="O96" t="s">
        <v>27</v>
      </c>
      <c r="P96" t="s">
        <v>28</v>
      </c>
      <c r="Q96">
        <v>25</v>
      </c>
      <c r="R96" t="s">
        <v>29</v>
      </c>
    </row>
    <row r="97" spans="1:18" x14ac:dyDescent="0.35">
      <c r="A97" s="1">
        <v>46235</v>
      </c>
      <c r="B97" t="s">
        <v>8</v>
      </c>
      <c r="C97">
        <v>41333.599999999999</v>
      </c>
      <c r="D97">
        <v>60.43</v>
      </c>
      <c r="E97">
        <v>2497962</v>
      </c>
      <c r="F97">
        <v>1032913</v>
      </c>
      <c r="G97">
        <v>156000</v>
      </c>
      <c r="H97">
        <v>1309049</v>
      </c>
      <c r="I97">
        <v>61200</v>
      </c>
      <c r="J97">
        <v>0.30859999999999999</v>
      </c>
      <c r="K97">
        <v>14</v>
      </c>
      <c r="L97">
        <v>0.98119999999999996</v>
      </c>
      <c r="M97" t="s">
        <v>113</v>
      </c>
      <c r="N97" t="s">
        <v>9</v>
      </c>
      <c r="O97" t="s">
        <v>10</v>
      </c>
      <c r="P97" t="s">
        <v>11</v>
      </c>
      <c r="Q97">
        <v>180</v>
      </c>
      <c r="R97" t="s">
        <v>12</v>
      </c>
    </row>
    <row r="98" spans="1:18" x14ac:dyDescent="0.35">
      <c r="A98" s="1">
        <v>46235</v>
      </c>
      <c r="B98" t="s">
        <v>13</v>
      </c>
      <c r="C98">
        <v>11718.1</v>
      </c>
      <c r="D98">
        <v>54.2</v>
      </c>
      <c r="E98">
        <v>635090</v>
      </c>
      <c r="F98">
        <v>135644</v>
      </c>
      <c r="G98">
        <v>43050</v>
      </c>
      <c r="H98">
        <v>456396</v>
      </c>
      <c r="I98">
        <v>7842</v>
      </c>
      <c r="J98">
        <v>0.21</v>
      </c>
      <c r="K98">
        <v>6</v>
      </c>
      <c r="L98">
        <v>0.9919</v>
      </c>
      <c r="M98" t="s">
        <v>113</v>
      </c>
      <c r="N98" t="s">
        <v>14</v>
      </c>
      <c r="O98" t="s">
        <v>15</v>
      </c>
      <c r="P98" t="s">
        <v>16</v>
      </c>
      <c r="Q98">
        <v>75</v>
      </c>
      <c r="R98" t="s">
        <v>12</v>
      </c>
    </row>
    <row r="99" spans="1:18" x14ac:dyDescent="0.35">
      <c r="A99" s="1">
        <v>46235</v>
      </c>
      <c r="B99" t="s">
        <v>17</v>
      </c>
      <c r="C99">
        <v>6359.2</v>
      </c>
      <c r="D99">
        <v>51.98</v>
      </c>
      <c r="E99">
        <v>330525</v>
      </c>
      <c r="F99">
        <v>80276</v>
      </c>
      <c r="G99">
        <v>30750</v>
      </c>
      <c r="H99">
        <v>219499</v>
      </c>
      <c r="I99">
        <v>8331</v>
      </c>
      <c r="J99">
        <v>0.20349999999999999</v>
      </c>
      <c r="K99">
        <v>2</v>
      </c>
      <c r="L99">
        <v>0.99729999999999996</v>
      </c>
      <c r="M99" t="s">
        <v>113</v>
      </c>
      <c r="N99" t="s">
        <v>18</v>
      </c>
      <c r="O99" t="s">
        <v>15</v>
      </c>
      <c r="P99" t="s">
        <v>19</v>
      </c>
      <c r="Q99">
        <v>42</v>
      </c>
      <c r="R99" t="s">
        <v>12</v>
      </c>
    </row>
    <row r="100" spans="1:18" x14ac:dyDescent="0.35">
      <c r="A100" s="1">
        <v>46235</v>
      </c>
      <c r="B100" t="s">
        <v>20</v>
      </c>
      <c r="C100">
        <v>19580.900000000001</v>
      </c>
      <c r="D100">
        <v>50.53</v>
      </c>
      <c r="E100">
        <v>989420</v>
      </c>
      <c r="F100">
        <v>326353</v>
      </c>
      <c r="G100">
        <v>67600</v>
      </c>
      <c r="H100">
        <v>595467</v>
      </c>
      <c r="I100">
        <v>74200</v>
      </c>
      <c r="J100">
        <v>0.43859999999999999</v>
      </c>
      <c r="K100">
        <v>10</v>
      </c>
      <c r="L100">
        <v>0.98660000000000003</v>
      </c>
      <c r="M100" t="s">
        <v>113</v>
      </c>
      <c r="N100" t="s">
        <v>21</v>
      </c>
      <c r="O100" t="s">
        <v>22</v>
      </c>
      <c r="P100" t="s">
        <v>23</v>
      </c>
      <c r="Q100">
        <v>60</v>
      </c>
      <c r="R100" t="s">
        <v>24</v>
      </c>
    </row>
    <row r="101" spans="1:18" x14ac:dyDescent="0.35">
      <c r="A101" s="1">
        <v>46235</v>
      </c>
      <c r="B101" t="s">
        <v>25</v>
      </c>
      <c r="C101">
        <v>6309.5</v>
      </c>
      <c r="D101">
        <v>118.33</v>
      </c>
      <c r="E101">
        <v>746590</v>
      </c>
      <c r="F101">
        <v>1108913</v>
      </c>
      <c r="G101">
        <v>100700</v>
      </c>
      <c r="H101">
        <v>-463022</v>
      </c>
      <c r="I101">
        <v>436800</v>
      </c>
      <c r="J101">
        <v>0.42399999999999999</v>
      </c>
      <c r="K101">
        <v>30</v>
      </c>
      <c r="L101">
        <v>0.9597</v>
      </c>
      <c r="M101" t="s">
        <v>113</v>
      </c>
      <c r="N101" t="s">
        <v>26</v>
      </c>
      <c r="O101" t="s">
        <v>27</v>
      </c>
      <c r="P101" t="s">
        <v>28</v>
      </c>
      <c r="Q101">
        <v>25</v>
      </c>
      <c r="R101" t="s">
        <v>29</v>
      </c>
    </row>
    <row r="102" spans="1:18" x14ac:dyDescent="0.35">
      <c r="A102" s="1">
        <v>46266</v>
      </c>
      <c r="B102" t="s">
        <v>8</v>
      </c>
      <c r="C102">
        <v>45035.5</v>
      </c>
      <c r="D102">
        <v>68.42</v>
      </c>
      <c r="E102">
        <v>3081141</v>
      </c>
      <c r="F102">
        <v>1097630</v>
      </c>
      <c r="G102">
        <v>156000</v>
      </c>
      <c r="H102">
        <v>1827510</v>
      </c>
      <c r="I102">
        <v>61200</v>
      </c>
      <c r="J102">
        <v>0.34749999999999998</v>
      </c>
      <c r="K102">
        <v>6</v>
      </c>
      <c r="L102">
        <v>0.99170000000000003</v>
      </c>
      <c r="M102" t="s">
        <v>113</v>
      </c>
      <c r="N102" t="s">
        <v>9</v>
      </c>
      <c r="O102" t="s">
        <v>10</v>
      </c>
      <c r="P102" t="s">
        <v>11</v>
      </c>
      <c r="Q102">
        <v>180</v>
      </c>
      <c r="R102" t="s">
        <v>12</v>
      </c>
    </row>
    <row r="103" spans="1:18" x14ac:dyDescent="0.35">
      <c r="A103" s="1">
        <v>46266</v>
      </c>
      <c r="B103" t="s">
        <v>13</v>
      </c>
      <c r="C103">
        <v>8737.7000000000007</v>
      </c>
      <c r="D103">
        <v>64.53</v>
      </c>
      <c r="E103">
        <v>563805</v>
      </c>
      <c r="F103">
        <v>125748</v>
      </c>
      <c r="G103">
        <v>43050</v>
      </c>
      <c r="H103">
        <v>395007</v>
      </c>
      <c r="I103">
        <v>28948</v>
      </c>
      <c r="J103">
        <v>0.1618</v>
      </c>
      <c r="K103">
        <v>2</v>
      </c>
      <c r="L103">
        <v>0.99719999999999998</v>
      </c>
      <c r="M103" t="s">
        <v>113</v>
      </c>
      <c r="N103" t="s">
        <v>14</v>
      </c>
      <c r="O103" t="s">
        <v>15</v>
      </c>
      <c r="P103" t="s">
        <v>16</v>
      </c>
      <c r="Q103">
        <v>75</v>
      </c>
      <c r="R103" t="s">
        <v>12</v>
      </c>
    </row>
    <row r="104" spans="1:18" x14ac:dyDescent="0.35">
      <c r="A104" s="1">
        <v>46266</v>
      </c>
      <c r="B104" t="s">
        <v>17</v>
      </c>
      <c r="C104">
        <v>4579.5</v>
      </c>
      <c r="D104">
        <v>61.81</v>
      </c>
      <c r="E104">
        <v>283056</v>
      </c>
      <c r="F104">
        <v>75017</v>
      </c>
      <c r="G104">
        <v>30750</v>
      </c>
      <c r="H104">
        <v>177290</v>
      </c>
      <c r="I104">
        <v>31268</v>
      </c>
      <c r="J104">
        <v>0.15140000000000001</v>
      </c>
      <c r="K104">
        <v>2</v>
      </c>
      <c r="L104">
        <v>0.99719999999999998</v>
      </c>
      <c r="M104" t="s">
        <v>113</v>
      </c>
      <c r="N104" t="s">
        <v>18</v>
      </c>
      <c r="O104" t="s">
        <v>15</v>
      </c>
      <c r="P104" t="s">
        <v>19</v>
      </c>
      <c r="Q104">
        <v>42</v>
      </c>
      <c r="R104" t="s">
        <v>12</v>
      </c>
    </row>
    <row r="105" spans="1:18" x14ac:dyDescent="0.35">
      <c r="A105" s="1">
        <v>46266</v>
      </c>
      <c r="B105" t="s">
        <v>20</v>
      </c>
      <c r="C105">
        <v>21381.1</v>
      </c>
      <c r="D105">
        <v>51.52</v>
      </c>
      <c r="E105">
        <v>1101484</v>
      </c>
      <c r="F105">
        <v>328117</v>
      </c>
      <c r="G105">
        <v>67600</v>
      </c>
      <c r="H105">
        <v>705767</v>
      </c>
      <c r="I105">
        <v>74200</v>
      </c>
      <c r="J105">
        <v>0.49490000000000001</v>
      </c>
      <c r="K105">
        <v>22</v>
      </c>
      <c r="L105">
        <v>0.96940000000000004</v>
      </c>
      <c r="M105" t="s">
        <v>113</v>
      </c>
      <c r="N105" t="s">
        <v>21</v>
      </c>
      <c r="O105" t="s">
        <v>22</v>
      </c>
      <c r="P105" t="s">
        <v>23</v>
      </c>
      <c r="Q105">
        <v>60</v>
      </c>
      <c r="R105" t="s">
        <v>24</v>
      </c>
    </row>
    <row r="106" spans="1:18" x14ac:dyDescent="0.35">
      <c r="A106" s="1">
        <v>46266</v>
      </c>
      <c r="B106" t="s">
        <v>25</v>
      </c>
      <c r="C106">
        <v>6460.9</v>
      </c>
      <c r="D106">
        <v>116.64</v>
      </c>
      <c r="E106">
        <v>753570</v>
      </c>
      <c r="F106">
        <v>1109680</v>
      </c>
      <c r="G106">
        <v>100700</v>
      </c>
      <c r="H106">
        <v>-456809</v>
      </c>
      <c r="I106">
        <v>436800</v>
      </c>
      <c r="J106">
        <v>0.44869999999999999</v>
      </c>
      <c r="K106">
        <v>42</v>
      </c>
      <c r="L106">
        <v>0.94169999999999998</v>
      </c>
      <c r="M106" t="s">
        <v>113</v>
      </c>
      <c r="N106" t="s">
        <v>26</v>
      </c>
      <c r="O106" t="s">
        <v>27</v>
      </c>
      <c r="P106" t="s">
        <v>28</v>
      </c>
      <c r="Q106">
        <v>25</v>
      </c>
      <c r="R106" t="s">
        <v>29</v>
      </c>
    </row>
    <row r="107" spans="1:18" x14ac:dyDescent="0.35">
      <c r="A107" s="1">
        <v>46296</v>
      </c>
      <c r="B107" t="s">
        <v>8</v>
      </c>
      <c r="C107">
        <v>50935.5</v>
      </c>
      <c r="D107">
        <v>75.92</v>
      </c>
      <c r="E107">
        <v>3867029</v>
      </c>
      <c r="F107">
        <v>1408541</v>
      </c>
      <c r="G107">
        <v>156000</v>
      </c>
      <c r="H107">
        <v>2302489</v>
      </c>
      <c r="I107">
        <v>287500</v>
      </c>
      <c r="J107">
        <v>0.38030000000000003</v>
      </c>
      <c r="K107">
        <v>42</v>
      </c>
      <c r="L107">
        <v>0.94350000000000001</v>
      </c>
      <c r="M107" t="s">
        <v>113</v>
      </c>
      <c r="N107" t="s">
        <v>9</v>
      </c>
      <c r="O107" t="s">
        <v>10</v>
      </c>
      <c r="P107" t="s">
        <v>11</v>
      </c>
      <c r="Q107">
        <v>180</v>
      </c>
      <c r="R107" t="s">
        <v>12</v>
      </c>
    </row>
    <row r="108" spans="1:18" x14ac:dyDescent="0.35">
      <c r="A108" s="1">
        <v>46296</v>
      </c>
      <c r="B108" t="s">
        <v>13</v>
      </c>
      <c r="C108">
        <v>6093.6</v>
      </c>
      <c r="D108">
        <v>69.95</v>
      </c>
      <c r="E108">
        <v>426238</v>
      </c>
      <c r="F108">
        <v>117919</v>
      </c>
      <c r="G108">
        <v>43050</v>
      </c>
      <c r="H108">
        <v>265269</v>
      </c>
      <c r="I108">
        <v>8473</v>
      </c>
      <c r="J108">
        <v>0.10920000000000001</v>
      </c>
      <c r="K108">
        <v>2</v>
      </c>
      <c r="L108">
        <v>0.99729999999999996</v>
      </c>
      <c r="M108" t="s">
        <v>113</v>
      </c>
      <c r="N108" t="s">
        <v>14</v>
      </c>
      <c r="O108" t="s">
        <v>15</v>
      </c>
      <c r="P108" t="s">
        <v>16</v>
      </c>
      <c r="Q108">
        <v>75</v>
      </c>
      <c r="R108" t="s">
        <v>12</v>
      </c>
    </row>
    <row r="109" spans="1:18" x14ac:dyDescent="0.35">
      <c r="A109" s="1">
        <v>46296</v>
      </c>
      <c r="B109" t="s">
        <v>17</v>
      </c>
      <c r="C109">
        <v>3157</v>
      </c>
      <c r="D109">
        <v>70.08</v>
      </c>
      <c r="E109">
        <v>221242</v>
      </c>
      <c r="F109">
        <v>70065</v>
      </c>
      <c r="G109">
        <v>30750</v>
      </c>
      <c r="H109">
        <v>120427</v>
      </c>
      <c r="I109">
        <v>8090</v>
      </c>
      <c r="J109">
        <v>0.10100000000000001</v>
      </c>
      <c r="K109">
        <v>6</v>
      </c>
      <c r="L109">
        <v>0.9919</v>
      </c>
      <c r="M109" t="s">
        <v>113</v>
      </c>
      <c r="N109" t="s">
        <v>18</v>
      </c>
      <c r="O109" t="s">
        <v>15</v>
      </c>
      <c r="P109" t="s">
        <v>19</v>
      </c>
      <c r="Q109">
        <v>42</v>
      </c>
      <c r="R109" t="s">
        <v>12</v>
      </c>
    </row>
    <row r="110" spans="1:18" x14ac:dyDescent="0.35">
      <c r="A110" s="1">
        <v>46296</v>
      </c>
      <c r="B110" t="s">
        <v>20</v>
      </c>
      <c r="C110">
        <v>22124.5</v>
      </c>
      <c r="D110">
        <v>54.14</v>
      </c>
      <c r="E110">
        <v>1197732</v>
      </c>
      <c r="F110">
        <v>329880</v>
      </c>
      <c r="G110">
        <v>67600</v>
      </c>
      <c r="H110">
        <v>800252</v>
      </c>
      <c r="I110">
        <v>74200</v>
      </c>
      <c r="J110">
        <v>0.49559999999999998</v>
      </c>
      <c r="K110">
        <v>14</v>
      </c>
      <c r="L110">
        <v>0.98119999999999996</v>
      </c>
      <c r="M110" t="s">
        <v>113</v>
      </c>
      <c r="N110" t="s">
        <v>21</v>
      </c>
      <c r="O110" t="s">
        <v>22</v>
      </c>
      <c r="P110" t="s">
        <v>23</v>
      </c>
      <c r="Q110">
        <v>60</v>
      </c>
      <c r="R110" t="s">
        <v>24</v>
      </c>
    </row>
    <row r="111" spans="1:18" x14ac:dyDescent="0.35">
      <c r="A111" s="1">
        <v>46296</v>
      </c>
      <c r="B111" t="s">
        <v>25</v>
      </c>
      <c r="C111">
        <v>7071</v>
      </c>
      <c r="D111">
        <v>118.73</v>
      </c>
      <c r="E111">
        <v>839551</v>
      </c>
      <c r="F111">
        <v>1149346</v>
      </c>
      <c r="G111">
        <v>100700</v>
      </c>
      <c r="H111">
        <v>-410494</v>
      </c>
      <c r="I111">
        <v>436800</v>
      </c>
      <c r="J111">
        <v>0.47520000000000001</v>
      </c>
      <c r="K111">
        <v>42</v>
      </c>
      <c r="L111">
        <v>0.94350000000000001</v>
      </c>
      <c r="M111" t="s">
        <v>113</v>
      </c>
      <c r="N111" t="s">
        <v>26</v>
      </c>
      <c r="O111" t="s">
        <v>27</v>
      </c>
      <c r="P111" t="s">
        <v>28</v>
      </c>
      <c r="Q111">
        <v>25</v>
      </c>
      <c r="R111" t="s">
        <v>29</v>
      </c>
    </row>
    <row r="112" spans="1:18" x14ac:dyDescent="0.35">
      <c r="A112" s="1">
        <v>46327</v>
      </c>
      <c r="B112" t="s">
        <v>8</v>
      </c>
      <c r="C112">
        <v>61801.4</v>
      </c>
      <c r="D112">
        <v>81.78</v>
      </c>
      <c r="E112">
        <v>5054082</v>
      </c>
      <c r="F112">
        <v>1211127</v>
      </c>
      <c r="G112">
        <v>156000</v>
      </c>
      <c r="H112">
        <v>3686956</v>
      </c>
      <c r="I112">
        <v>61200</v>
      </c>
      <c r="J112">
        <v>0.47689999999999999</v>
      </c>
      <c r="K112">
        <v>14</v>
      </c>
      <c r="L112">
        <v>0.98060000000000003</v>
      </c>
      <c r="M112" t="s">
        <v>113</v>
      </c>
      <c r="N112" t="s">
        <v>9</v>
      </c>
      <c r="O112" t="s">
        <v>10</v>
      </c>
      <c r="P112" t="s">
        <v>11</v>
      </c>
      <c r="Q112">
        <v>180</v>
      </c>
      <c r="R112" t="s">
        <v>12</v>
      </c>
    </row>
    <row r="113" spans="1:18" x14ac:dyDescent="0.35">
      <c r="A113" s="1">
        <v>46327</v>
      </c>
      <c r="B113" t="s">
        <v>13</v>
      </c>
      <c r="C113">
        <v>3610.5</v>
      </c>
      <c r="D113">
        <v>78.45</v>
      </c>
      <c r="E113">
        <v>283229</v>
      </c>
      <c r="F113">
        <v>108401</v>
      </c>
      <c r="G113">
        <v>43050</v>
      </c>
      <c r="H113">
        <v>131778</v>
      </c>
      <c r="I113">
        <v>8604</v>
      </c>
      <c r="J113">
        <v>6.6900000000000001E-2</v>
      </c>
      <c r="K113">
        <v>8</v>
      </c>
      <c r="L113">
        <v>0.9889</v>
      </c>
      <c r="M113" t="s">
        <v>113</v>
      </c>
      <c r="N113" t="s">
        <v>14</v>
      </c>
      <c r="O113" t="s">
        <v>15</v>
      </c>
      <c r="P113" t="s">
        <v>16</v>
      </c>
      <c r="Q113">
        <v>75</v>
      </c>
      <c r="R113" t="s">
        <v>12</v>
      </c>
    </row>
    <row r="114" spans="1:18" x14ac:dyDescent="0.35">
      <c r="A114" s="1">
        <v>46327</v>
      </c>
      <c r="B114" t="s">
        <v>17</v>
      </c>
      <c r="C114">
        <v>1991.9</v>
      </c>
      <c r="D114">
        <v>75.81</v>
      </c>
      <c r="E114">
        <v>151016</v>
      </c>
      <c r="F114">
        <v>64207</v>
      </c>
      <c r="G114">
        <v>30750</v>
      </c>
      <c r="H114">
        <v>56060</v>
      </c>
      <c r="I114">
        <v>7817</v>
      </c>
      <c r="J114">
        <v>6.59E-2</v>
      </c>
      <c r="K114">
        <v>10</v>
      </c>
      <c r="L114">
        <v>0.98609999999999998</v>
      </c>
      <c r="M114" t="s">
        <v>113</v>
      </c>
      <c r="N114" t="s">
        <v>18</v>
      </c>
      <c r="O114" t="s">
        <v>15</v>
      </c>
      <c r="P114" t="s">
        <v>19</v>
      </c>
      <c r="Q114">
        <v>42</v>
      </c>
      <c r="R114" t="s">
        <v>12</v>
      </c>
    </row>
    <row r="115" spans="1:18" x14ac:dyDescent="0.35">
      <c r="A115" s="1">
        <v>46327</v>
      </c>
      <c r="B115" t="s">
        <v>20</v>
      </c>
      <c r="C115">
        <v>22954.9</v>
      </c>
      <c r="D115">
        <v>57.53</v>
      </c>
      <c r="E115">
        <v>1320634</v>
      </c>
      <c r="F115">
        <v>339361</v>
      </c>
      <c r="G115">
        <v>67600</v>
      </c>
      <c r="H115">
        <v>913673</v>
      </c>
      <c r="I115">
        <v>74200</v>
      </c>
      <c r="J115">
        <v>0.53139999999999998</v>
      </c>
      <c r="K115">
        <v>6</v>
      </c>
      <c r="L115">
        <v>0.99170000000000003</v>
      </c>
      <c r="M115" t="s">
        <v>113</v>
      </c>
      <c r="N115" t="s">
        <v>21</v>
      </c>
      <c r="O115" t="s">
        <v>22</v>
      </c>
      <c r="P115" t="s">
        <v>23</v>
      </c>
      <c r="Q115">
        <v>60</v>
      </c>
      <c r="R115" t="s">
        <v>24</v>
      </c>
    </row>
    <row r="116" spans="1:18" x14ac:dyDescent="0.35">
      <c r="A116" s="1">
        <v>46327</v>
      </c>
      <c r="B116" t="s">
        <v>25</v>
      </c>
      <c r="C116">
        <v>6454.8</v>
      </c>
      <c r="D116">
        <v>116.01</v>
      </c>
      <c r="E116">
        <v>748788</v>
      </c>
      <c r="F116">
        <v>1147658</v>
      </c>
      <c r="G116">
        <v>100700</v>
      </c>
      <c r="H116">
        <v>-499570</v>
      </c>
      <c r="I116">
        <v>436800</v>
      </c>
      <c r="J116">
        <v>0.44819999999999999</v>
      </c>
      <c r="K116">
        <v>53</v>
      </c>
      <c r="L116">
        <v>0.9264</v>
      </c>
      <c r="M116" t="s">
        <v>113</v>
      </c>
      <c r="N116" t="s">
        <v>26</v>
      </c>
      <c r="O116" t="s">
        <v>27</v>
      </c>
      <c r="P116" t="s">
        <v>28</v>
      </c>
      <c r="Q116">
        <v>25</v>
      </c>
      <c r="R116" t="s">
        <v>29</v>
      </c>
    </row>
    <row r="117" spans="1:18" x14ac:dyDescent="0.35">
      <c r="A117" s="1">
        <v>46357</v>
      </c>
      <c r="B117" t="s">
        <v>8</v>
      </c>
      <c r="C117">
        <v>64457.4</v>
      </c>
      <c r="D117">
        <v>85.32</v>
      </c>
      <c r="E117">
        <v>5499795</v>
      </c>
      <c r="F117">
        <v>1277966</v>
      </c>
      <c r="G117">
        <v>156000</v>
      </c>
      <c r="H117">
        <v>4065829</v>
      </c>
      <c r="I117">
        <v>61200</v>
      </c>
      <c r="J117">
        <v>0.48130000000000001</v>
      </c>
      <c r="K117">
        <v>6</v>
      </c>
      <c r="L117">
        <v>0.9919</v>
      </c>
      <c r="M117" t="s">
        <v>113</v>
      </c>
      <c r="N117" t="s">
        <v>9</v>
      </c>
      <c r="O117" t="s">
        <v>10</v>
      </c>
      <c r="P117" t="s">
        <v>11</v>
      </c>
      <c r="Q117">
        <v>180</v>
      </c>
      <c r="R117" t="s">
        <v>12</v>
      </c>
    </row>
    <row r="118" spans="1:18" x14ac:dyDescent="0.35">
      <c r="A118" s="1">
        <v>46357</v>
      </c>
      <c r="B118" t="s">
        <v>13</v>
      </c>
      <c r="C118">
        <v>2687.9</v>
      </c>
      <c r="D118">
        <v>84.23</v>
      </c>
      <c r="E118">
        <v>226404</v>
      </c>
      <c r="F118">
        <v>106469</v>
      </c>
      <c r="G118">
        <v>43050</v>
      </c>
      <c r="H118">
        <v>76885</v>
      </c>
      <c r="I118">
        <v>8592</v>
      </c>
      <c r="J118">
        <v>4.82E-2</v>
      </c>
      <c r="K118">
        <v>6</v>
      </c>
      <c r="L118">
        <v>0.9919</v>
      </c>
      <c r="M118" t="s">
        <v>113</v>
      </c>
      <c r="N118" t="s">
        <v>14</v>
      </c>
      <c r="O118" t="s">
        <v>15</v>
      </c>
      <c r="P118" t="s">
        <v>16</v>
      </c>
      <c r="Q118">
        <v>75</v>
      </c>
      <c r="R118" t="s">
        <v>12</v>
      </c>
    </row>
    <row r="119" spans="1:18" x14ac:dyDescent="0.35">
      <c r="A119" s="1">
        <v>46357</v>
      </c>
      <c r="B119" t="s">
        <v>17</v>
      </c>
      <c r="C119">
        <v>1637.2</v>
      </c>
      <c r="D119">
        <v>83.9</v>
      </c>
      <c r="E119">
        <v>137350</v>
      </c>
      <c r="F119">
        <v>63499</v>
      </c>
      <c r="G119">
        <v>30750</v>
      </c>
      <c r="H119">
        <v>43100</v>
      </c>
      <c r="I119">
        <v>7369</v>
      </c>
      <c r="J119">
        <v>5.2400000000000002E-2</v>
      </c>
      <c r="K119">
        <v>2</v>
      </c>
      <c r="L119">
        <v>0.99729999999999996</v>
      </c>
      <c r="M119" t="s">
        <v>113</v>
      </c>
      <c r="N119" t="s">
        <v>18</v>
      </c>
      <c r="O119" t="s">
        <v>15</v>
      </c>
      <c r="P119" t="s">
        <v>19</v>
      </c>
      <c r="Q119">
        <v>42</v>
      </c>
      <c r="R119" t="s">
        <v>12</v>
      </c>
    </row>
    <row r="120" spans="1:18" x14ac:dyDescent="0.35">
      <c r="A120" s="1">
        <v>46357</v>
      </c>
      <c r="B120" t="s">
        <v>20</v>
      </c>
      <c r="C120">
        <v>23855.5</v>
      </c>
      <c r="D120">
        <v>62.44</v>
      </c>
      <c r="E120">
        <v>1489617</v>
      </c>
      <c r="F120">
        <v>341125</v>
      </c>
      <c r="G120">
        <v>67600</v>
      </c>
      <c r="H120">
        <v>1080892</v>
      </c>
      <c r="I120">
        <v>74200</v>
      </c>
      <c r="J120">
        <v>0.53439999999999999</v>
      </c>
      <c r="K120">
        <v>18</v>
      </c>
      <c r="L120">
        <v>0.9758</v>
      </c>
      <c r="M120" t="s">
        <v>113</v>
      </c>
      <c r="N120" t="s">
        <v>21</v>
      </c>
      <c r="O120" t="s">
        <v>22</v>
      </c>
      <c r="P120" t="s">
        <v>23</v>
      </c>
      <c r="Q120">
        <v>60</v>
      </c>
      <c r="R120" t="s">
        <v>24</v>
      </c>
    </row>
    <row r="121" spans="1:18" x14ac:dyDescent="0.35">
      <c r="A121" s="1">
        <v>46357</v>
      </c>
      <c r="B121" t="s">
        <v>25</v>
      </c>
      <c r="C121">
        <v>6973.9</v>
      </c>
      <c r="D121">
        <v>118.08</v>
      </c>
      <c r="E121">
        <v>823503</v>
      </c>
      <c r="F121">
        <v>1168373</v>
      </c>
      <c r="G121">
        <v>100700</v>
      </c>
      <c r="H121">
        <v>-445570</v>
      </c>
      <c r="I121">
        <v>436800</v>
      </c>
      <c r="J121">
        <v>0.46870000000000001</v>
      </c>
      <c r="K121">
        <v>30</v>
      </c>
      <c r="L121">
        <v>0.9597</v>
      </c>
      <c r="M121" t="s">
        <v>113</v>
      </c>
      <c r="N121" t="s">
        <v>26</v>
      </c>
      <c r="O121" t="s">
        <v>27</v>
      </c>
      <c r="P121" t="s">
        <v>28</v>
      </c>
      <c r="Q121">
        <v>25</v>
      </c>
      <c r="R121" t="s">
        <v>29</v>
      </c>
    </row>
    <row r="122" spans="1:18" x14ac:dyDescent="0.35">
      <c r="A122" s="1">
        <v>45658</v>
      </c>
      <c r="B122" t="s">
        <v>8</v>
      </c>
      <c r="C122">
        <v>66420</v>
      </c>
      <c r="D122">
        <v>92</v>
      </c>
      <c r="E122">
        <v>6110640</v>
      </c>
      <c r="F122">
        <v>1181360</v>
      </c>
      <c r="G122">
        <v>150000</v>
      </c>
      <c r="H122">
        <v>4779280</v>
      </c>
      <c r="I122">
        <v>60000</v>
      </c>
      <c r="J122">
        <v>0.496</v>
      </c>
      <c r="K122">
        <v>6</v>
      </c>
      <c r="L122">
        <v>0.9919</v>
      </c>
      <c r="M122" t="s">
        <v>112</v>
      </c>
      <c r="N122" t="s">
        <v>9</v>
      </c>
      <c r="O122" t="s">
        <v>10</v>
      </c>
      <c r="P122" t="s">
        <v>11</v>
      </c>
      <c r="Q122">
        <v>180</v>
      </c>
      <c r="R122" t="s">
        <v>12</v>
      </c>
    </row>
    <row r="123" spans="1:18" x14ac:dyDescent="0.35">
      <c r="A123" s="1">
        <v>45689</v>
      </c>
      <c r="B123" t="s">
        <v>8</v>
      </c>
      <c r="C123">
        <v>56343.6</v>
      </c>
      <c r="D123">
        <v>88</v>
      </c>
      <c r="E123">
        <v>4958237</v>
      </c>
      <c r="F123">
        <v>1100749</v>
      </c>
      <c r="G123">
        <v>150000</v>
      </c>
      <c r="H123">
        <v>3707488</v>
      </c>
      <c r="I123">
        <v>60000</v>
      </c>
      <c r="J123">
        <v>0.46579999999999999</v>
      </c>
      <c r="K123">
        <v>6</v>
      </c>
      <c r="L123">
        <v>0.99109999999999998</v>
      </c>
      <c r="M123" t="s">
        <v>112</v>
      </c>
      <c r="N123" t="s">
        <v>9</v>
      </c>
      <c r="O123" t="s">
        <v>10</v>
      </c>
      <c r="P123" t="s">
        <v>11</v>
      </c>
      <c r="Q123">
        <v>180</v>
      </c>
      <c r="R123" t="s">
        <v>12</v>
      </c>
    </row>
    <row r="124" spans="1:18" x14ac:dyDescent="0.35">
      <c r="A124" s="1">
        <v>45658</v>
      </c>
      <c r="B124" t="s">
        <v>13</v>
      </c>
      <c r="C124">
        <v>3060.8</v>
      </c>
      <c r="D124">
        <v>85</v>
      </c>
      <c r="E124">
        <v>260164</v>
      </c>
      <c r="F124">
        <v>104794</v>
      </c>
      <c r="G124">
        <v>42000</v>
      </c>
      <c r="H124">
        <v>113369</v>
      </c>
      <c r="I124">
        <v>8000</v>
      </c>
      <c r="J124">
        <v>5.4899999999999997E-2</v>
      </c>
      <c r="K124">
        <v>2</v>
      </c>
      <c r="L124">
        <v>0.99729999999999996</v>
      </c>
      <c r="M124" t="s">
        <v>112</v>
      </c>
      <c r="N124" t="s">
        <v>14</v>
      </c>
      <c r="O124" t="s">
        <v>15</v>
      </c>
      <c r="P124" t="s">
        <v>16</v>
      </c>
      <c r="Q124">
        <v>75</v>
      </c>
      <c r="R124" t="s">
        <v>12</v>
      </c>
    </row>
    <row r="125" spans="1:18" x14ac:dyDescent="0.35">
      <c r="A125" s="1">
        <v>45658</v>
      </c>
      <c r="B125" t="s">
        <v>17</v>
      </c>
      <c r="C125">
        <v>1714</v>
      </c>
      <c r="D125">
        <v>85</v>
      </c>
      <c r="E125">
        <v>145692</v>
      </c>
      <c r="F125">
        <v>62485</v>
      </c>
      <c r="G125">
        <v>30000</v>
      </c>
      <c r="H125">
        <v>53207</v>
      </c>
      <c r="I125">
        <v>8000</v>
      </c>
      <c r="J125">
        <v>5.4899999999999997E-2</v>
      </c>
      <c r="K125">
        <v>2</v>
      </c>
      <c r="L125">
        <v>0.99729999999999996</v>
      </c>
      <c r="M125" t="s">
        <v>112</v>
      </c>
      <c r="N125" t="s">
        <v>18</v>
      </c>
      <c r="O125" t="s">
        <v>15</v>
      </c>
      <c r="P125" t="s">
        <v>19</v>
      </c>
      <c r="Q125">
        <v>42</v>
      </c>
      <c r="R125" t="s">
        <v>12</v>
      </c>
    </row>
    <row r="126" spans="1:18" x14ac:dyDescent="0.35">
      <c r="A126" s="1">
        <v>45658</v>
      </c>
      <c r="B126" t="s">
        <v>20</v>
      </c>
      <c r="C126">
        <v>12220</v>
      </c>
      <c r="D126">
        <v>41.55</v>
      </c>
      <c r="E126">
        <v>507741</v>
      </c>
      <c r="F126">
        <v>283544</v>
      </c>
      <c r="G126">
        <v>65000</v>
      </c>
      <c r="H126">
        <v>159197</v>
      </c>
      <c r="I126">
        <v>175000</v>
      </c>
      <c r="J126">
        <v>0.2737</v>
      </c>
      <c r="K126">
        <v>6</v>
      </c>
      <c r="L126">
        <v>0.9919</v>
      </c>
      <c r="M126" t="s">
        <v>112</v>
      </c>
      <c r="N126" t="s">
        <v>21</v>
      </c>
      <c r="O126" t="s">
        <v>22</v>
      </c>
      <c r="P126" t="s">
        <v>23</v>
      </c>
      <c r="Q126">
        <v>60</v>
      </c>
      <c r="R126" t="s">
        <v>24</v>
      </c>
    </row>
    <row r="127" spans="1:18" x14ac:dyDescent="0.35">
      <c r="A127" s="1">
        <v>45658</v>
      </c>
      <c r="B127" t="s">
        <v>25</v>
      </c>
      <c r="C127">
        <v>2485</v>
      </c>
      <c r="D127">
        <v>118</v>
      </c>
      <c r="E127">
        <v>293225</v>
      </c>
      <c r="F127">
        <v>598917</v>
      </c>
      <c r="G127">
        <v>95000</v>
      </c>
      <c r="H127">
        <v>-400692</v>
      </c>
      <c r="I127">
        <v>650000</v>
      </c>
      <c r="J127">
        <v>0.16700000000000001</v>
      </c>
      <c r="K127">
        <v>12</v>
      </c>
      <c r="L127">
        <v>0.9839</v>
      </c>
      <c r="M127" t="s">
        <v>112</v>
      </c>
      <c r="N127" t="s">
        <v>26</v>
      </c>
      <c r="O127" t="s">
        <v>27</v>
      </c>
      <c r="P127" t="s">
        <v>28</v>
      </c>
      <c r="Q127">
        <v>25</v>
      </c>
      <c r="R127" t="s">
        <v>29</v>
      </c>
    </row>
    <row r="128" spans="1:18" x14ac:dyDescent="0.35">
      <c r="A128" s="1">
        <v>45689</v>
      </c>
      <c r="B128" t="s">
        <v>13</v>
      </c>
      <c r="C128">
        <v>3996</v>
      </c>
      <c r="D128">
        <v>81</v>
      </c>
      <c r="E128">
        <v>323676</v>
      </c>
      <c r="F128">
        <v>107787</v>
      </c>
      <c r="G128">
        <v>42000</v>
      </c>
      <c r="H128">
        <v>173889</v>
      </c>
      <c r="I128">
        <v>8000</v>
      </c>
      <c r="J128">
        <v>7.9299999999999995E-2</v>
      </c>
      <c r="K128">
        <v>6</v>
      </c>
      <c r="L128">
        <v>0.99109999999999998</v>
      </c>
      <c r="M128" t="s">
        <v>112</v>
      </c>
      <c r="N128" t="s">
        <v>14</v>
      </c>
      <c r="O128" t="s">
        <v>15</v>
      </c>
      <c r="P128" t="s">
        <v>16</v>
      </c>
      <c r="Q128">
        <v>75</v>
      </c>
      <c r="R128" t="s">
        <v>12</v>
      </c>
    </row>
    <row r="129" spans="1:18" x14ac:dyDescent="0.35">
      <c r="A129" s="1">
        <v>45689</v>
      </c>
      <c r="B129" t="s">
        <v>17</v>
      </c>
      <c r="C129">
        <v>2237.8000000000002</v>
      </c>
      <c r="D129">
        <v>81</v>
      </c>
      <c r="E129">
        <v>181259</v>
      </c>
      <c r="F129">
        <v>64161</v>
      </c>
      <c r="G129">
        <v>30000</v>
      </c>
      <c r="H129">
        <v>87098</v>
      </c>
      <c r="I129">
        <v>8000</v>
      </c>
      <c r="J129">
        <v>7.9299999999999995E-2</v>
      </c>
      <c r="K129">
        <v>6</v>
      </c>
      <c r="L129">
        <v>0.99109999999999998</v>
      </c>
      <c r="M129" t="s">
        <v>112</v>
      </c>
      <c r="N129" t="s">
        <v>18</v>
      </c>
      <c r="O129" t="s">
        <v>15</v>
      </c>
      <c r="P129" t="s">
        <v>19</v>
      </c>
      <c r="Q129">
        <v>42</v>
      </c>
      <c r="R129" t="s">
        <v>12</v>
      </c>
    </row>
    <row r="130" spans="1:18" x14ac:dyDescent="0.35">
      <c r="A130" s="1">
        <v>45689</v>
      </c>
      <c r="B130" t="s">
        <v>20</v>
      </c>
      <c r="C130">
        <v>12540</v>
      </c>
      <c r="D130">
        <v>42.1</v>
      </c>
      <c r="E130">
        <v>527934</v>
      </c>
      <c r="F130">
        <v>285208</v>
      </c>
      <c r="G130">
        <v>65000</v>
      </c>
      <c r="H130">
        <v>177726</v>
      </c>
      <c r="I130">
        <v>175000</v>
      </c>
      <c r="J130">
        <v>0.311</v>
      </c>
      <c r="K130">
        <v>6</v>
      </c>
      <c r="L130">
        <v>0.99109999999999998</v>
      </c>
      <c r="M130" t="s">
        <v>112</v>
      </c>
      <c r="N130" t="s">
        <v>21</v>
      </c>
      <c r="O130" t="s">
        <v>22</v>
      </c>
      <c r="P130" t="s">
        <v>23</v>
      </c>
      <c r="Q130">
        <v>60</v>
      </c>
      <c r="R130" t="s">
        <v>24</v>
      </c>
    </row>
    <row r="131" spans="1:18" x14ac:dyDescent="0.35">
      <c r="A131" s="1">
        <v>45689</v>
      </c>
      <c r="B131" t="s">
        <v>25</v>
      </c>
      <c r="C131">
        <v>2473</v>
      </c>
      <c r="D131">
        <v>118</v>
      </c>
      <c r="E131">
        <v>291809</v>
      </c>
      <c r="F131">
        <v>598053</v>
      </c>
      <c r="G131">
        <v>95000</v>
      </c>
      <c r="H131">
        <v>-401244</v>
      </c>
      <c r="I131">
        <v>650000</v>
      </c>
      <c r="J131">
        <v>0.184</v>
      </c>
      <c r="K131">
        <v>12</v>
      </c>
      <c r="L131">
        <v>0.98209999999999997</v>
      </c>
      <c r="M131" t="s">
        <v>112</v>
      </c>
      <c r="N131" t="s">
        <v>26</v>
      </c>
      <c r="O131" t="s">
        <v>27</v>
      </c>
      <c r="P131" t="s">
        <v>28</v>
      </c>
      <c r="Q131">
        <v>25</v>
      </c>
      <c r="R131" t="s">
        <v>29</v>
      </c>
    </row>
    <row r="132" spans="1:18" x14ac:dyDescent="0.35">
      <c r="A132" s="1">
        <v>45717</v>
      </c>
      <c r="B132" t="s">
        <v>8</v>
      </c>
      <c r="C132">
        <v>58449.599999999999</v>
      </c>
      <c r="D132">
        <v>82</v>
      </c>
      <c r="E132">
        <v>4792867</v>
      </c>
      <c r="F132">
        <v>1117597</v>
      </c>
      <c r="G132">
        <v>150000</v>
      </c>
      <c r="H132">
        <v>3525270</v>
      </c>
      <c r="I132">
        <v>60000</v>
      </c>
      <c r="J132">
        <v>0.4365</v>
      </c>
      <c r="K132">
        <v>6</v>
      </c>
      <c r="L132">
        <v>0.9919</v>
      </c>
      <c r="M132" t="s">
        <v>112</v>
      </c>
      <c r="N132" t="s">
        <v>9</v>
      </c>
      <c r="O132" t="s">
        <v>10</v>
      </c>
      <c r="P132" t="s">
        <v>11</v>
      </c>
      <c r="Q132">
        <v>180</v>
      </c>
      <c r="R132" t="s">
        <v>12</v>
      </c>
    </row>
    <row r="133" spans="1:18" x14ac:dyDescent="0.35">
      <c r="A133" s="1">
        <v>45717</v>
      </c>
      <c r="B133" t="s">
        <v>13</v>
      </c>
      <c r="C133">
        <v>6678</v>
      </c>
      <c r="D133">
        <v>75</v>
      </c>
      <c r="E133">
        <v>500850</v>
      </c>
      <c r="F133">
        <v>116370</v>
      </c>
      <c r="G133">
        <v>42000</v>
      </c>
      <c r="H133">
        <v>342480</v>
      </c>
      <c r="I133">
        <v>30000</v>
      </c>
      <c r="J133">
        <v>0.1197</v>
      </c>
      <c r="K133">
        <v>2</v>
      </c>
      <c r="L133">
        <v>0.99729999999999996</v>
      </c>
      <c r="M133" t="s">
        <v>112</v>
      </c>
      <c r="N133" t="s">
        <v>14</v>
      </c>
      <c r="O133" t="s">
        <v>15</v>
      </c>
      <c r="P133" t="s">
        <v>16</v>
      </c>
      <c r="Q133">
        <v>75</v>
      </c>
      <c r="R133" t="s">
        <v>12</v>
      </c>
    </row>
    <row r="134" spans="1:18" x14ac:dyDescent="0.35">
      <c r="A134" s="1">
        <v>45717</v>
      </c>
      <c r="B134" t="s">
        <v>17</v>
      </c>
      <c r="C134">
        <v>3739.7</v>
      </c>
      <c r="D134">
        <v>75</v>
      </c>
      <c r="E134">
        <v>280476</v>
      </c>
      <c r="F134">
        <v>68967</v>
      </c>
      <c r="G134">
        <v>30000</v>
      </c>
      <c r="H134">
        <v>181509</v>
      </c>
      <c r="I134">
        <v>30000</v>
      </c>
      <c r="J134">
        <v>0.1197</v>
      </c>
      <c r="K134">
        <v>2</v>
      </c>
      <c r="L134">
        <v>0.99729999999999996</v>
      </c>
      <c r="M134" t="s">
        <v>112</v>
      </c>
      <c r="N134" t="s">
        <v>18</v>
      </c>
      <c r="O134" t="s">
        <v>15</v>
      </c>
      <c r="P134" t="s">
        <v>19</v>
      </c>
      <c r="Q134">
        <v>42</v>
      </c>
      <c r="R134" t="s">
        <v>12</v>
      </c>
    </row>
    <row r="135" spans="1:18" x14ac:dyDescent="0.35">
      <c r="A135" s="1">
        <v>45717</v>
      </c>
      <c r="B135" t="s">
        <v>20</v>
      </c>
      <c r="C135">
        <v>11460</v>
      </c>
      <c r="D135">
        <v>37.65</v>
      </c>
      <c r="E135">
        <v>431469</v>
      </c>
      <c r="F135">
        <v>279592</v>
      </c>
      <c r="G135">
        <v>65000</v>
      </c>
      <c r="H135">
        <v>86877</v>
      </c>
      <c r="I135">
        <v>175000</v>
      </c>
      <c r="J135">
        <v>0.25669999999999998</v>
      </c>
      <c r="K135">
        <v>18</v>
      </c>
      <c r="L135">
        <v>0.9758</v>
      </c>
      <c r="M135" t="s">
        <v>112</v>
      </c>
      <c r="N135" t="s">
        <v>21</v>
      </c>
      <c r="O135" t="s">
        <v>22</v>
      </c>
      <c r="P135" t="s">
        <v>23</v>
      </c>
      <c r="Q135">
        <v>60</v>
      </c>
      <c r="R135" t="s">
        <v>24</v>
      </c>
    </row>
    <row r="136" spans="1:18" x14ac:dyDescent="0.35">
      <c r="A136" s="1">
        <v>45717</v>
      </c>
      <c r="B136" t="s">
        <v>25</v>
      </c>
      <c r="C136">
        <v>2990.9</v>
      </c>
      <c r="D136">
        <v>118</v>
      </c>
      <c r="E136">
        <v>352924</v>
      </c>
      <c r="F136">
        <v>635343</v>
      </c>
      <c r="G136">
        <v>95000</v>
      </c>
      <c r="H136">
        <v>-377420</v>
      </c>
      <c r="I136">
        <v>1000000</v>
      </c>
      <c r="J136">
        <v>0.20100000000000001</v>
      </c>
      <c r="K136">
        <v>12</v>
      </c>
      <c r="L136">
        <v>0.9839</v>
      </c>
      <c r="M136" t="s">
        <v>112</v>
      </c>
      <c r="N136" t="s">
        <v>26</v>
      </c>
      <c r="O136" t="s">
        <v>27</v>
      </c>
      <c r="P136" t="s">
        <v>28</v>
      </c>
      <c r="Q136">
        <v>25</v>
      </c>
      <c r="R136" t="s">
        <v>29</v>
      </c>
    </row>
    <row r="137" spans="1:18" x14ac:dyDescent="0.35">
      <c r="A137" s="1">
        <v>45748</v>
      </c>
      <c r="B137" t="s">
        <v>8</v>
      </c>
      <c r="C137">
        <v>47880</v>
      </c>
      <c r="D137">
        <v>76</v>
      </c>
      <c r="E137">
        <v>3638880</v>
      </c>
      <c r="F137">
        <v>1153040</v>
      </c>
      <c r="G137">
        <v>150000</v>
      </c>
      <c r="H137">
        <v>2335840</v>
      </c>
      <c r="I137">
        <v>250000</v>
      </c>
      <c r="J137">
        <v>0.36940000000000001</v>
      </c>
      <c r="K137">
        <v>20</v>
      </c>
      <c r="L137">
        <v>0.97219999999999995</v>
      </c>
      <c r="M137" t="s">
        <v>112</v>
      </c>
      <c r="N137" t="s">
        <v>9</v>
      </c>
      <c r="O137" t="s">
        <v>10</v>
      </c>
      <c r="P137" t="s">
        <v>11</v>
      </c>
      <c r="Q137">
        <v>180</v>
      </c>
      <c r="R137" t="s">
        <v>12</v>
      </c>
    </row>
    <row r="138" spans="1:18" x14ac:dyDescent="0.35">
      <c r="A138" s="1">
        <v>45748</v>
      </c>
      <c r="B138" t="s">
        <v>13</v>
      </c>
      <c r="C138">
        <v>8616</v>
      </c>
      <c r="D138">
        <v>69</v>
      </c>
      <c r="E138">
        <v>594504</v>
      </c>
      <c r="F138">
        <v>122571</v>
      </c>
      <c r="G138">
        <v>42000</v>
      </c>
      <c r="H138">
        <v>429933</v>
      </c>
      <c r="I138">
        <v>8000</v>
      </c>
      <c r="J138">
        <v>0.15959999999999999</v>
      </c>
      <c r="K138">
        <v>2</v>
      </c>
      <c r="L138">
        <v>0.99719999999999998</v>
      </c>
      <c r="M138" t="s">
        <v>112</v>
      </c>
      <c r="N138" t="s">
        <v>14</v>
      </c>
      <c r="O138" t="s">
        <v>15</v>
      </c>
      <c r="P138" t="s">
        <v>16</v>
      </c>
      <c r="Q138">
        <v>75</v>
      </c>
      <c r="R138" t="s">
        <v>12</v>
      </c>
    </row>
    <row r="139" spans="1:18" x14ac:dyDescent="0.35">
      <c r="A139" s="1">
        <v>45748</v>
      </c>
      <c r="B139" t="s">
        <v>17</v>
      </c>
      <c r="C139">
        <v>4825</v>
      </c>
      <c r="D139">
        <v>69</v>
      </c>
      <c r="E139">
        <v>332922</v>
      </c>
      <c r="F139">
        <v>72440</v>
      </c>
      <c r="G139">
        <v>30000</v>
      </c>
      <c r="H139">
        <v>230482</v>
      </c>
      <c r="I139">
        <v>8000</v>
      </c>
      <c r="J139">
        <v>0.15959999999999999</v>
      </c>
      <c r="K139">
        <v>2</v>
      </c>
      <c r="L139">
        <v>0.99719999999999998</v>
      </c>
      <c r="M139" t="s">
        <v>112</v>
      </c>
      <c r="N139" t="s">
        <v>18</v>
      </c>
      <c r="O139" t="s">
        <v>15</v>
      </c>
      <c r="P139" t="s">
        <v>19</v>
      </c>
      <c r="Q139">
        <v>42</v>
      </c>
      <c r="R139" t="s">
        <v>12</v>
      </c>
    </row>
    <row r="140" spans="1:18" x14ac:dyDescent="0.35">
      <c r="A140" s="1">
        <v>45748</v>
      </c>
      <c r="B140" t="s">
        <v>20</v>
      </c>
      <c r="C140">
        <v>11780</v>
      </c>
      <c r="D140">
        <v>38.200000000000003</v>
      </c>
      <c r="E140">
        <v>449996</v>
      </c>
      <c r="F140">
        <v>281256</v>
      </c>
      <c r="G140">
        <v>65000</v>
      </c>
      <c r="H140">
        <v>103740</v>
      </c>
      <c r="I140">
        <v>175000</v>
      </c>
      <c r="J140">
        <v>0.2727</v>
      </c>
      <c r="K140">
        <v>6</v>
      </c>
      <c r="L140">
        <v>0.99170000000000003</v>
      </c>
      <c r="M140" t="s">
        <v>112</v>
      </c>
      <c r="N140" t="s">
        <v>21</v>
      </c>
      <c r="O140" t="s">
        <v>22</v>
      </c>
      <c r="P140" t="s">
        <v>23</v>
      </c>
      <c r="Q140">
        <v>60</v>
      </c>
      <c r="R140" t="s">
        <v>24</v>
      </c>
    </row>
    <row r="141" spans="1:18" x14ac:dyDescent="0.35">
      <c r="A141" s="1">
        <v>45748</v>
      </c>
      <c r="B141" t="s">
        <v>25</v>
      </c>
      <c r="C141">
        <v>3139.2</v>
      </c>
      <c r="D141">
        <v>118</v>
      </c>
      <c r="E141">
        <v>370426</v>
      </c>
      <c r="F141">
        <v>646022</v>
      </c>
      <c r="G141">
        <v>95000</v>
      </c>
      <c r="H141">
        <v>-370597</v>
      </c>
      <c r="I141">
        <v>1000000</v>
      </c>
      <c r="J141">
        <v>0.218</v>
      </c>
      <c r="K141">
        <v>12</v>
      </c>
      <c r="L141">
        <v>0.98329999999999995</v>
      </c>
      <c r="M141" t="s">
        <v>112</v>
      </c>
      <c r="N141" t="s">
        <v>26</v>
      </c>
      <c r="O141" t="s">
        <v>27</v>
      </c>
      <c r="P141" t="s">
        <v>28</v>
      </c>
      <c r="Q141">
        <v>25</v>
      </c>
      <c r="R141" t="s">
        <v>29</v>
      </c>
    </row>
    <row r="142" spans="1:18" x14ac:dyDescent="0.35">
      <c r="A142" s="1">
        <v>45778</v>
      </c>
      <c r="B142" t="s">
        <v>8</v>
      </c>
      <c r="C142">
        <v>43837.2</v>
      </c>
      <c r="D142">
        <v>71</v>
      </c>
      <c r="E142">
        <v>3112441</v>
      </c>
      <c r="F142">
        <v>1000698</v>
      </c>
      <c r="G142">
        <v>150000</v>
      </c>
      <c r="H142">
        <v>1961744</v>
      </c>
      <c r="I142">
        <v>60000</v>
      </c>
      <c r="J142">
        <v>0.32729999999999998</v>
      </c>
      <c r="K142">
        <v>6</v>
      </c>
      <c r="L142">
        <v>0.9919</v>
      </c>
      <c r="M142" t="s">
        <v>112</v>
      </c>
      <c r="N142" t="s">
        <v>9</v>
      </c>
      <c r="O142" t="s">
        <v>10</v>
      </c>
      <c r="P142" t="s">
        <v>11</v>
      </c>
      <c r="Q142">
        <v>180</v>
      </c>
      <c r="R142" t="s">
        <v>12</v>
      </c>
    </row>
    <row r="143" spans="1:18" x14ac:dyDescent="0.35">
      <c r="A143" s="1">
        <v>45778</v>
      </c>
      <c r="B143" t="s">
        <v>13</v>
      </c>
      <c r="C143">
        <v>11130</v>
      </c>
      <c r="D143">
        <v>59</v>
      </c>
      <c r="E143">
        <v>656670</v>
      </c>
      <c r="F143">
        <v>130616</v>
      </c>
      <c r="G143">
        <v>42000</v>
      </c>
      <c r="H143">
        <v>484054</v>
      </c>
      <c r="I143">
        <v>8000</v>
      </c>
      <c r="J143">
        <v>0.19950000000000001</v>
      </c>
      <c r="K143">
        <v>2</v>
      </c>
      <c r="L143">
        <v>0.99729999999999996</v>
      </c>
      <c r="M143" t="s">
        <v>112</v>
      </c>
      <c r="N143" t="s">
        <v>14</v>
      </c>
      <c r="O143" t="s">
        <v>15</v>
      </c>
      <c r="P143" t="s">
        <v>16</v>
      </c>
      <c r="Q143">
        <v>75</v>
      </c>
      <c r="R143" t="s">
        <v>12</v>
      </c>
    </row>
    <row r="144" spans="1:18" x14ac:dyDescent="0.35">
      <c r="A144" s="1">
        <v>45778</v>
      </c>
      <c r="B144" t="s">
        <v>17</v>
      </c>
      <c r="C144">
        <v>6232.8</v>
      </c>
      <c r="D144">
        <v>59</v>
      </c>
      <c r="E144">
        <v>367735</v>
      </c>
      <c r="F144">
        <v>76945</v>
      </c>
      <c r="G144">
        <v>30000</v>
      </c>
      <c r="H144">
        <v>260790</v>
      </c>
      <c r="I144">
        <v>8000</v>
      </c>
      <c r="J144">
        <v>0.19950000000000001</v>
      </c>
      <c r="K144">
        <v>2</v>
      </c>
      <c r="L144">
        <v>0.99729999999999996</v>
      </c>
      <c r="M144" t="s">
        <v>112</v>
      </c>
      <c r="N144" t="s">
        <v>18</v>
      </c>
      <c r="O144" t="s">
        <v>15</v>
      </c>
      <c r="P144" t="s">
        <v>19</v>
      </c>
      <c r="Q144">
        <v>42</v>
      </c>
      <c r="R144" t="s">
        <v>12</v>
      </c>
    </row>
    <row r="145" spans="1:18" x14ac:dyDescent="0.35">
      <c r="A145" s="1">
        <v>45778</v>
      </c>
      <c r="B145" t="s">
        <v>20</v>
      </c>
      <c r="C145">
        <v>12100</v>
      </c>
      <c r="D145">
        <v>38.75</v>
      </c>
      <c r="E145">
        <v>468875</v>
      </c>
      <c r="F145">
        <v>282920</v>
      </c>
      <c r="G145">
        <v>65000</v>
      </c>
      <c r="H145">
        <v>120955</v>
      </c>
      <c r="I145">
        <v>175000</v>
      </c>
      <c r="J145">
        <v>0.27110000000000001</v>
      </c>
      <c r="K145">
        <v>6</v>
      </c>
      <c r="L145">
        <v>0.9919</v>
      </c>
      <c r="M145" t="s">
        <v>112</v>
      </c>
      <c r="N145" t="s">
        <v>21</v>
      </c>
      <c r="O145" t="s">
        <v>22</v>
      </c>
      <c r="P145" t="s">
        <v>23</v>
      </c>
      <c r="Q145">
        <v>60</v>
      </c>
      <c r="R145" t="s">
        <v>24</v>
      </c>
    </row>
    <row r="146" spans="1:18" x14ac:dyDescent="0.35">
      <c r="A146" s="1">
        <v>45778</v>
      </c>
      <c r="B146" t="s">
        <v>25</v>
      </c>
      <c r="C146">
        <v>3496.8</v>
      </c>
      <c r="D146">
        <v>118</v>
      </c>
      <c r="E146">
        <v>412622</v>
      </c>
      <c r="F146">
        <v>671770</v>
      </c>
      <c r="G146">
        <v>95000</v>
      </c>
      <c r="H146">
        <v>-354147</v>
      </c>
      <c r="I146">
        <v>1000000</v>
      </c>
      <c r="J146">
        <v>0.23499999999999999</v>
      </c>
      <c r="K146">
        <v>35</v>
      </c>
      <c r="L146">
        <v>0.95299999999999996</v>
      </c>
      <c r="M146" t="s">
        <v>112</v>
      </c>
      <c r="N146" t="s">
        <v>26</v>
      </c>
      <c r="O146" t="s">
        <v>27</v>
      </c>
      <c r="P146" t="s">
        <v>28</v>
      </c>
      <c r="Q146">
        <v>25</v>
      </c>
      <c r="R146" t="s">
        <v>29</v>
      </c>
    </row>
    <row r="147" spans="1:18" x14ac:dyDescent="0.35">
      <c r="A147" s="1">
        <v>45809</v>
      </c>
      <c r="B147" t="s">
        <v>8</v>
      </c>
      <c r="C147">
        <v>38556</v>
      </c>
      <c r="D147">
        <v>67</v>
      </c>
      <c r="E147">
        <v>2583252</v>
      </c>
      <c r="F147">
        <v>958448</v>
      </c>
      <c r="G147">
        <v>150000</v>
      </c>
      <c r="H147">
        <v>1474804</v>
      </c>
      <c r="I147">
        <v>60000</v>
      </c>
      <c r="J147">
        <v>0.29749999999999999</v>
      </c>
      <c r="K147">
        <v>6</v>
      </c>
      <c r="L147">
        <v>0.99170000000000003</v>
      </c>
      <c r="M147" t="s">
        <v>112</v>
      </c>
      <c r="N147" t="s">
        <v>9</v>
      </c>
      <c r="O147" t="s">
        <v>10</v>
      </c>
      <c r="P147" t="s">
        <v>11</v>
      </c>
      <c r="Q147">
        <v>180</v>
      </c>
      <c r="R147" t="s">
        <v>12</v>
      </c>
    </row>
    <row r="148" spans="1:18" x14ac:dyDescent="0.35">
      <c r="A148" s="1">
        <v>45809</v>
      </c>
      <c r="B148" t="s">
        <v>13</v>
      </c>
      <c r="C148">
        <v>12116.2</v>
      </c>
      <c r="D148">
        <v>55</v>
      </c>
      <c r="E148">
        <v>666394</v>
      </c>
      <c r="F148">
        <v>133772</v>
      </c>
      <c r="G148">
        <v>42000</v>
      </c>
      <c r="H148">
        <v>490622</v>
      </c>
      <c r="I148">
        <v>8000</v>
      </c>
      <c r="J148">
        <v>0.22439999999999999</v>
      </c>
      <c r="K148">
        <v>2</v>
      </c>
      <c r="L148">
        <v>0.99719999999999998</v>
      </c>
      <c r="M148" t="s">
        <v>112</v>
      </c>
      <c r="N148" t="s">
        <v>14</v>
      </c>
      <c r="O148" t="s">
        <v>15</v>
      </c>
      <c r="P148" t="s">
        <v>16</v>
      </c>
      <c r="Q148">
        <v>75</v>
      </c>
      <c r="R148" t="s">
        <v>12</v>
      </c>
    </row>
    <row r="149" spans="1:18" x14ac:dyDescent="0.35">
      <c r="A149" s="1">
        <v>45809</v>
      </c>
      <c r="B149" t="s">
        <v>17</v>
      </c>
      <c r="C149">
        <v>6785.1</v>
      </c>
      <c r="D149">
        <v>55</v>
      </c>
      <c r="E149">
        <v>373180</v>
      </c>
      <c r="F149">
        <v>78712</v>
      </c>
      <c r="G149">
        <v>30000</v>
      </c>
      <c r="H149">
        <v>264468</v>
      </c>
      <c r="I149">
        <v>8000</v>
      </c>
      <c r="J149">
        <v>0.22439999999999999</v>
      </c>
      <c r="K149">
        <v>2</v>
      </c>
      <c r="L149">
        <v>0.99719999999999998</v>
      </c>
      <c r="M149" t="s">
        <v>112</v>
      </c>
      <c r="N149" t="s">
        <v>18</v>
      </c>
      <c r="O149" t="s">
        <v>15</v>
      </c>
      <c r="P149" t="s">
        <v>19</v>
      </c>
      <c r="Q149">
        <v>42</v>
      </c>
      <c r="R149" t="s">
        <v>12</v>
      </c>
    </row>
    <row r="150" spans="1:18" x14ac:dyDescent="0.35">
      <c r="A150" s="1">
        <v>45809</v>
      </c>
      <c r="B150" t="s">
        <v>20</v>
      </c>
      <c r="C150">
        <v>12420</v>
      </c>
      <c r="D150">
        <v>39.299999999999997</v>
      </c>
      <c r="E150">
        <v>488106</v>
      </c>
      <c r="F150">
        <v>284584</v>
      </c>
      <c r="G150">
        <v>65000</v>
      </c>
      <c r="H150">
        <v>138522</v>
      </c>
      <c r="I150">
        <v>175000</v>
      </c>
      <c r="J150">
        <v>0.28749999999999998</v>
      </c>
      <c r="K150">
        <v>6</v>
      </c>
      <c r="L150">
        <v>0.99170000000000003</v>
      </c>
      <c r="M150" t="s">
        <v>112</v>
      </c>
      <c r="N150" t="s">
        <v>21</v>
      </c>
      <c r="O150" t="s">
        <v>22</v>
      </c>
      <c r="P150" t="s">
        <v>23</v>
      </c>
      <c r="Q150">
        <v>60</v>
      </c>
      <c r="R150" t="s">
        <v>24</v>
      </c>
    </row>
    <row r="151" spans="1:18" x14ac:dyDescent="0.35">
      <c r="A151" s="1">
        <v>45809</v>
      </c>
      <c r="B151" t="s">
        <v>25</v>
      </c>
      <c r="C151">
        <v>3628.8</v>
      </c>
      <c r="D151">
        <v>118</v>
      </c>
      <c r="E151">
        <v>428198</v>
      </c>
      <c r="F151">
        <v>681274</v>
      </c>
      <c r="G151">
        <v>95000</v>
      </c>
      <c r="H151">
        <v>-348075</v>
      </c>
      <c r="I151">
        <v>650000</v>
      </c>
      <c r="J151">
        <v>0.252</v>
      </c>
      <c r="K151">
        <v>12</v>
      </c>
      <c r="L151">
        <v>0.98329999999999995</v>
      </c>
      <c r="M151" t="s">
        <v>112</v>
      </c>
      <c r="N151" t="s">
        <v>26</v>
      </c>
      <c r="O151" t="s">
        <v>27</v>
      </c>
      <c r="P151" t="s">
        <v>28</v>
      </c>
      <c r="Q151">
        <v>25</v>
      </c>
      <c r="R151" t="s">
        <v>29</v>
      </c>
    </row>
    <row r="152" spans="1:18" x14ac:dyDescent="0.35">
      <c r="A152" s="1">
        <v>45839</v>
      </c>
      <c r="B152" t="s">
        <v>8</v>
      </c>
      <c r="C152">
        <v>38523.599999999999</v>
      </c>
      <c r="D152">
        <v>65</v>
      </c>
      <c r="E152">
        <v>2504034</v>
      </c>
      <c r="F152">
        <v>958189</v>
      </c>
      <c r="G152">
        <v>150000</v>
      </c>
      <c r="H152">
        <v>1395845</v>
      </c>
      <c r="I152">
        <v>60000</v>
      </c>
      <c r="J152">
        <v>0.28770000000000001</v>
      </c>
      <c r="K152">
        <v>6</v>
      </c>
      <c r="L152">
        <v>0.9919</v>
      </c>
      <c r="M152" t="s">
        <v>112</v>
      </c>
      <c r="N152" t="s">
        <v>9</v>
      </c>
      <c r="O152" t="s">
        <v>10</v>
      </c>
      <c r="P152" t="s">
        <v>11</v>
      </c>
      <c r="Q152">
        <v>180</v>
      </c>
      <c r="R152" t="s">
        <v>12</v>
      </c>
    </row>
    <row r="153" spans="1:18" x14ac:dyDescent="0.35">
      <c r="A153" s="1">
        <v>45839</v>
      </c>
      <c r="B153" t="s">
        <v>13</v>
      </c>
      <c r="C153">
        <v>12799.5</v>
      </c>
      <c r="D153">
        <v>53</v>
      </c>
      <c r="E153">
        <v>678374</v>
      </c>
      <c r="F153">
        <v>135958</v>
      </c>
      <c r="G153">
        <v>42000</v>
      </c>
      <c r="H153">
        <v>500415</v>
      </c>
      <c r="I153">
        <v>8000</v>
      </c>
      <c r="J153">
        <v>0.22939999999999999</v>
      </c>
      <c r="K153">
        <v>2</v>
      </c>
      <c r="L153">
        <v>0.99729999999999996</v>
      </c>
      <c r="M153" t="s">
        <v>112</v>
      </c>
      <c r="N153" t="s">
        <v>14</v>
      </c>
      <c r="O153" t="s">
        <v>15</v>
      </c>
      <c r="P153" t="s">
        <v>16</v>
      </c>
      <c r="Q153">
        <v>75</v>
      </c>
      <c r="R153" t="s">
        <v>12</v>
      </c>
    </row>
    <row r="154" spans="1:18" x14ac:dyDescent="0.35">
      <c r="A154" s="1">
        <v>45839</v>
      </c>
      <c r="B154" t="s">
        <v>17</v>
      </c>
      <c r="C154">
        <v>7167.7</v>
      </c>
      <c r="D154">
        <v>53</v>
      </c>
      <c r="E154">
        <v>379889</v>
      </c>
      <c r="F154">
        <v>79937</v>
      </c>
      <c r="G154">
        <v>30000</v>
      </c>
      <c r="H154">
        <v>269952</v>
      </c>
      <c r="I154">
        <v>8000</v>
      </c>
      <c r="J154">
        <v>0.22939999999999999</v>
      </c>
      <c r="K154">
        <v>2</v>
      </c>
      <c r="L154">
        <v>0.99729999999999996</v>
      </c>
      <c r="M154" t="s">
        <v>112</v>
      </c>
      <c r="N154" t="s">
        <v>18</v>
      </c>
      <c r="O154" t="s">
        <v>15</v>
      </c>
      <c r="P154" t="s">
        <v>19</v>
      </c>
      <c r="Q154">
        <v>42</v>
      </c>
      <c r="R154" t="s">
        <v>12</v>
      </c>
    </row>
    <row r="155" spans="1:18" x14ac:dyDescent="0.35">
      <c r="A155" s="1">
        <v>45839</v>
      </c>
      <c r="B155" t="s">
        <v>20</v>
      </c>
      <c r="C155">
        <v>12740</v>
      </c>
      <c r="D155">
        <v>39.85</v>
      </c>
      <c r="E155">
        <v>507689</v>
      </c>
      <c r="F155">
        <v>286248</v>
      </c>
      <c r="G155">
        <v>65000</v>
      </c>
      <c r="H155">
        <v>156441</v>
      </c>
      <c r="I155">
        <v>175000</v>
      </c>
      <c r="J155">
        <v>0.28539999999999999</v>
      </c>
      <c r="K155">
        <v>6</v>
      </c>
      <c r="L155">
        <v>0.9919</v>
      </c>
      <c r="M155" t="s">
        <v>112</v>
      </c>
      <c r="N155" t="s">
        <v>21</v>
      </c>
      <c r="O155" t="s">
        <v>22</v>
      </c>
      <c r="P155" t="s">
        <v>23</v>
      </c>
      <c r="Q155">
        <v>60</v>
      </c>
      <c r="R155" t="s">
        <v>24</v>
      </c>
    </row>
    <row r="156" spans="1:18" x14ac:dyDescent="0.35">
      <c r="A156" s="1">
        <v>45839</v>
      </c>
      <c r="B156" t="s">
        <v>25</v>
      </c>
      <c r="C156">
        <v>4002.7</v>
      </c>
      <c r="D156">
        <v>118</v>
      </c>
      <c r="E156">
        <v>472321</v>
      </c>
      <c r="F156">
        <v>708196</v>
      </c>
      <c r="G156">
        <v>95000</v>
      </c>
      <c r="H156">
        <v>-330875</v>
      </c>
      <c r="I156">
        <v>650000</v>
      </c>
      <c r="J156">
        <v>0.26900000000000002</v>
      </c>
      <c r="K156">
        <v>12</v>
      </c>
      <c r="L156">
        <v>0.9839</v>
      </c>
      <c r="M156" t="s">
        <v>112</v>
      </c>
      <c r="N156" t="s">
        <v>26</v>
      </c>
      <c r="O156" t="s">
        <v>27</v>
      </c>
      <c r="P156" t="s">
        <v>28</v>
      </c>
      <c r="Q156">
        <v>25</v>
      </c>
      <c r="R156" t="s">
        <v>29</v>
      </c>
    </row>
    <row r="157" spans="1:18" x14ac:dyDescent="0.35">
      <c r="A157" s="1">
        <v>45870</v>
      </c>
      <c r="B157" t="s">
        <v>8</v>
      </c>
      <c r="C157">
        <v>41180.400000000001</v>
      </c>
      <c r="D157">
        <v>68</v>
      </c>
      <c r="E157">
        <v>2800267</v>
      </c>
      <c r="F157">
        <v>979443</v>
      </c>
      <c r="G157">
        <v>150000</v>
      </c>
      <c r="H157">
        <v>1670824</v>
      </c>
      <c r="I157">
        <v>60000</v>
      </c>
      <c r="J157">
        <v>0.3075</v>
      </c>
      <c r="K157">
        <v>6</v>
      </c>
      <c r="L157">
        <v>0.9919</v>
      </c>
      <c r="M157" t="s">
        <v>112</v>
      </c>
      <c r="N157" t="s">
        <v>9</v>
      </c>
      <c r="O157" t="s">
        <v>10</v>
      </c>
      <c r="P157" t="s">
        <v>11</v>
      </c>
      <c r="Q157">
        <v>180</v>
      </c>
      <c r="R157" t="s">
        <v>12</v>
      </c>
    </row>
    <row r="158" spans="1:18" x14ac:dyDescent="0.35">
      <c r="A158" s="1">
        <v>45870</v>
      </c>
      <c r="B158" t="s">
        <v>13</v>
      </c>
      <c r="C158">
        <v>11408.2</v>
      </c>
      <c r="D158">
        <v>56</v>
      </c>
      <c r="E158">
        <v>638862</v>
      </c>
      <c r="F158">
        <v>131506</v>
      </c>
      <c r="G158">
        <v>42000</v>
      </c>
      <c r="H158">
        <v>465356</v>
      </c>
      <c r="I158">
        <v>8000</v>
      </c>
      <c r="J158">
        <v>0.2044</v>
      </c>
      <c r="K158">
        <v>2</v>
      </c>
      <c r="L158">
        <v>0.99729999999999996</v>
      </c>
      <c r="M158" t="s">
        <v>112</v>
      </c>
      <c r="N158" t="s">
        <v>14</v>
      </c>
      <c r="O158" t="s">
        <v>15</v>
      </c>
      <c r="P158" t="s">
        <v>16</v>
      </c>
      <c r="Q158">
        <v>75</v>
      </c>
      <c r="R158" t="s">
        <v>12</v>
      </c>
    </row>
    <row r="159" spans="1:18" x14ac:dyDescent="0.35">
      <c r="A159" s="1">
        <v>45870</v>
      </c>
      <c r="B159" t="s">
        <v>17</v>
      </c>
      <c r="C159">
        <v>6388.6</v>
      </c>
      <c r="D159">
        <v>56</v>
      </c>
      <c r="E159">
        <v>357763</v>
      </c>
      <c r="F159">
        <v>77444</v>
      </c>
      <c r="G159">
        <v>30000</v>
      </c>
      <c r="H159">
        <v>250319</v>
      </c>
      <c r="I159">
        <v>8000</v>
      </c>
      <c r="J159">
        <v>0.2044</v>
      </c>
      <c r="K159">
        <v>2</v>
      </c>
      <c r="L159">
        <v>0.99729999999999996</v>
      </c>
      <c r="M159" t="s">
        <v>112</v>
      </c>
      <c r="N159" t="s">
        <v>18</v>
      </c>
      <c r="O159" t="s">
        <v>15</v>
      </c>
      <c r="P159" t="s">
        <v>19</v>
      </c>
      <c r="Q159">
        <v>42</v>
      </c>
      <c r="R159" t="s">
        <v>12</v>
      </c>
    </row>
    <row r="160" spans="1:18" x14ac:dyDescent="0.35">
      <c r="A160" s="1">
        <v>45870</v>
      </c>
      <c r="B160" t="s">
        <v>20</v>
      </c>
      <c r="C160">
        <v>13060</v>
      </c>
      <c r="D160">
        <v>40.4</v>
      </c>
      <c r="E160">
        <v>527624</v>
      </c>
      <c r="F160">
        <v>287912</v>
      </c>
      <c r="G160">
        <v>65000</v>
      </c>
      <c r="H160">
        <v>174712</v>
      </c>
      <c r="I160">
        <v>175000</v>
      </c>
      <c r="J160">
        <v>0.29260000000000003</v>
      </c>
      <c r="K160">
        <v>6</v>
      </c>
      <c r="L160">
        <v>0.9919</v>
      </c>
      <c r="M160" t="s">
        <v>112</v>
      </c>
      <c r="N160" t="s">
        <v>21</v>
      </c>
      <c r="O160" t="s">
        <v>22</v>
      </c>
      <c r="P160" t="s">
        <v>23</v>
      </c>
      <c r="Q160">
        <v>60</v>
      </c>
      <c r="R160" t="s">
        <v>24</v>
      </c>
    </row>
    <row r="161" spans="1:18" x14ac:dyDescent="0.35">
      <c r="A161" s="1">
        <v>45870</v>
      </c>
      <c r="B161" t="s">
        <v>25</v>
      </c>
      <c r="C161">
        <v>4255.7</v>
      </c>
      <c r="D161">
        <v>118</v>
      </c>
      <c r="E161">
        <v>502170</v>
      </c>
      <c r="F161">
        <v>726409</v>
      </c>
      <c r="G161">
        <v>95000</v>
      </c>
      <c r="H161">
        <v>-319239</v>
      </c>
      <c r="I161">
        <v>650000</v>
      </c>
      <c r="J161">
        <v>0.28599999999999998</v>
      </c>
      <c r="K161">
        <v>12</v>
      </c>
      <c r="L161">
        <v>0.9839</v>
      </c>
      <c r="M161" t="s">
        <v>112</v>
      </c>
      <c r="N161" t="s">
        <v>26</v>
      </c>
      <c r="O161" t="s">
        <v>27</v>
      </c>
      <c r="P161" t="s">
        <v>28</v>
      </c>
      <c r="Q161">
        <v>25</v>
      </c>
      <c r="R161" t="s">
        <v>29</v>
      </c>
    </row>
    <row r="162" spans="1:18" x14ac:dyDescent="0.35">
      <c r="A162" s="1">
        <v>45901</v>
      </c>
      <c r="B162" t="s">
        <v>8</v>
      </c>
      <c r="C162">
        <v>46267.199999999997</v>
      </c>
      <c r="D162">
        <v>74</v>
      </c>
      <c r="E162">
        <v>3423773</v>
      </c>
      <c r="F162">
        <v>1020138</v>
      </c>
      <c r="G162">
        <v>150000</v>
      </c>
      <c r="H162">
        <v>2253635</v>
      </c>
      <c r="I162">
        <v>60000</v>
      </c>
      <c r="J162">
        <v>0.35699999999999998</v>
      </c>
      <c r="K162">
        <v>6</v>
      </c>
      <c r="L162">
        <v>0.99170000000000003</v>
      </c>
      <c r="M162" t="s">
        <v>112</v>
      </c>
      <c r="N162" t="s">
        <v>9</v>
      </c>
      <c r="O162" t="s">
        <v>10</v>
      </c>
      <c r="P162" t="s">
        <v>11</v>
      </c>
      <c r="Q162">
        <v>180</v>
      </c>
      <c r="R162" t="s">
        <v>12</v>
      </c>
    </row>
    <row r="163" spans="1:18" x14ac:dyDescent="0.35">
      <c r="A163" s="1">
        <v>45901</v>
      </c>
      <c r="B163" t="s">
        <v>13</v>
      </c>
      <c r="C163">
        <v>8346.7999999999993</v>
      </c>
      <c r="D163">
        <v>67</v>
      </c>
      <c r="E163">
        <v>559232</v>
      </c>
      <c r="F163">
        <v>121710</v>
      </c>
      <c r="G163">
        <v>42000</v>
      </c>
      <c r="H163">
        <v>395523</v>
      </c>
      <c r="I163">
        <v>30000</v>
      </c>
      <c r="J163">
        <v>0.15459999999999999</v>
      </c>
      <c r="K163">
        <v>2</v>
      </c>
      <c r="L163">
        <v>0.99719999999999998</v>
      </c>
      <c r="M163" t="s">
        <v>112</v>
      </c>
      <c r="N163" t="s">
        <v>14</v>
      </c>
      <c r="O163" t="s">
        <v>15</v>
      </c>
      <c r="P163" t="s">
        <v>16</v>
      </c>
      <c r="Q163">
        <v>75</v>
      </c>
      <c r="R163" t="s">
        <v>12</v>
      </c>
    </row>
    <row r="164" spans="1:18" x14ac:dyDescent="0.35">
      <c r="A164" s="1">
        <v>45901</v>
      </c>
      <c r="B164" t="s">
        <v>17</v>
      </c>
      <c r="C164">
        <v>4674.2</v>
      </c>
      <c r="D164">
        <v>67</v>
      </c>
      <c r="E164">
        <v>313170</v>
      </c>
      <c r="F164">
        <v>71957</v>
      </c>
      <c r="G164">
        <v>30000</v>
      </c>
      <c r="H164">
        <v>211213</v>
      </c>
      <c r="I164">
        <v>30000</v>
      </c>
      <c r="J164">
        <v>0.15459999999999999</v>
      </c>
      <c r="K164">
        <v>2</v>
      </c>
      <c r="L164">
        <v>0.99719999999999998</v>
      </c>
      <c r="M164" t="s">
        <v>112</v>
      </c>
      <c r="N164" t="s">
        <v>18</v>
      </c>
      <c r="O164" t="s">
        <v>15</v>
      </c>
      <c r="P164" t="s">
        <v>19</v>
      </c>
      <c r="Q164">
        <v>42</v>
      </c>
      <c r="R164" t="s">
        <v>12</v>
      </c>
    </row>
    <row r="165" spans="1:18" x14ac:dyDescent="0.35">
      <c r="A165" s="1">
        <v>45901</v>
      </c>
      <c r="B165" t="s">
        <v>20</v>
      </c>
      <c r="C165">
        <v>13380</v>
      </c>
      <c r="D165">
        <v>40.950000000000003</v>
      </c>
      <c r="E165">
        <v>547911</v>
      </c>
      <c r="F165">
        <v>289576</v>
      </c>
      <c r="G165">
        <v>65000</v>
      </c>
      <c r="H165">
        <v>193335</v>
      </c>
      <c r="I165">
        <v>70000</v>
      </c>
      <c r="J165">
        <v>0.30969999999999998</v>
      </c>
      <c r="K165">
        <v>18</v>
      </c>
      <c r="L165">
        <v>0.97499999999999998</v>
      </c>
      <c r="M165" t="s">
        <v>112</v>
      </c>
      <c r="N165" t="s">
        <v>21</v>
      </c>
      <c r="O165" t="s">
        <v>22</v>
      </c>
      <c r="P165" t="s">
        <v>23</v>
      </c>
      <c r="Q165">
        <v>60</v>
      </c>
      <c r="R165" t="s">
        <v>24</v>
      </c>
    </row>
    <row r="166" spans="1:18" x14ac:dyDescent="0.35">
      <c r="A166" s="1">
        <v>45901</v>
      </c>
      <c r="B166" t="s">
        <v>25</v>
      </c>
      <c r="C166">
        <v>4363.2</v>
      </c>
      <c r="D166">
        <v>118</v>
      </c>
      <c r="E166">
        <v>514858</v>
      </c>
      <c r="F166">
        <v>734150</v>
      </c>
      <c r="G166">
        <v>95000</v>
      </c>
      <c r="H166">
        <v>-314293</v>
      </c>
      <c r="I166">
        <v>650000</v>
      </c>
      <c r="J166">
        <v>0.30299999999999999</v>
      </c>
      <c r="K166">
        <v>12</v>
      </c>
      <c r="L166">
        <v>0.98329999999999995</v>
      </c>
      <c r="M166" t="s">
        <v>112</v>
      </c>
      <c r="N166" t="s">
        <v>26</v>
      </c>
      <c r="O166" t="s">
        <v>27</v>
      </c>
      <c r="P166" t="s">
        <v>28</v>
      </c>
      <c r="Q166">
        <v>25</v>
      </c>
      <c r="R166" t="s">
        <v>29</v>
      </c>
    </row>
    <row r="167" spans="1:18" x14ac:dyDescent="0.35">
      <c r="A167" s="1">
        <v>45931</v>
      </c>
      <c r="B167" t="s">
        <v>8</v>
      </c>
      <c r="C167">
        <v>54734.400000000001</v>
      </c>
      <c r="D167">
        <v>82</v>
      </c>
      <c r="E167">
        <v>4488221</v>
      </c>
      <c r="F167">
        <v>1207875</v>
      </c>
      <c r="G167">
        <v>150000</v>
      </c>
      <c r="H167">
        <v>3130346</v>
      </c>
      <c r="I167">
        <v>250000</v>
      </c>
      <c r="J167">
        <v>0.40870000000000001</v>
      </c>
      <c r="K167">
        <v>20</v>
      </c>
      <c r="L167">
        <v>0.97309999999999997</v>
      </c>
      <c r="M167" t="s">
        <v>112</v>
      </c>
      <c r="N167" t="s">
        <v>9</v>
      </c>
      <c r="O167" t="s">
        <v>10</v>
      </c>
      <c r="P167" t="s">
        <v>11</v>
      </c>
      <c r="Q167">
        <v>180</v>
      </c>
      <c r="R167" t="s">
        <v>12</v>
      </c>
    </row>
    <row r="168" spans="1:18" x14ac:dyDescent="0.35">
      <c r="A168" s="1">
        <v>45931</v>
      </c>
      <c r="B168" t="s">
        <v>13</v>
      </c>
      <c r="C168">
        <v>5843.2</v>
      </c>
      <c r="D168">
        <v>75</v>
      </c>
      <c r="E168">
        <v>438244</v>
      </c>
      <c r="F168">
        <v>113698</v>
      </c>
      <c r="G168">
        <v>42000</v>
      </c>
      <c r="H168">
        <v>282545</v>
      </c>
      <c r="I168">
        <v>8000</v>
      </c>
      <c r="J168">
        <v>0.1047</v>
      </c>
      <c r="K168">
        <v>2</v>
      </c>
      <c r="L168">
        <v>0.99729999999999996</v>
      </c>
      <c r="M168" t="s">
        <v>112</v>
      </c>
      <c r="N168" t="s">
        <v>14</v>
      </c>
      <c r="O168" t="s">
        <v>15</v>
      </c>
      <c r="P168" t="s">
        <v>16</v>
      </c>
      <c r="Q168">
        <v>75</v>
      </c>
      <c r="R168" t="s">
        <v>12</v>
      </c>
    </row>
    <row r="169" spans="1:18" x14ac:dyDescent="0.35">
      <c r="A169" s="1">
        <v>45931</v>
      </c>
      <c r="B169" t="s">
        <v>17</v>
      </c>
      <c r="C169">
        <v>3272.2</v>
      </c>
      <c r="D169">
        <v>75</v>
      </c>
      <c r="E169">
        <v>245416</v>
      </c>
      <c r="F169">
        <v>67471</v>
      </c>
      <c r="G169">
        <v>30000</v>
      </c>
      <c r="H169">
        <v>147945</v>
      </c>
      <c r="I169">
        <v>8000</v>
      </c>
      <c r="J169">
        <v>0.1047</v>
      </c>
      <c r="K169">
        <v>2</v>
      </c>
      <c r="L169">
        <v>0.99729999999999996</v>
      </c>
      <c r="M169" t="s">
        <v>112</v>
      </c>
      <c r="N169" t="s">
        <v>18</v>
      </c>
      <c r="O169" t="s">
        <v>15</v>
      </c>
      <c r="P169" t="s">
        <v>19</v>
      </c>
      <c r="Q169">
        <v>42</v>
      </c>
      <c r="R169" t="s">
        <v>12</v>
      </c>
    </row>
    <row r="170" spans="1:18" x14ac:dyDescent="0.35">
      <c r="A170" s="1">
        <v>45931</v>
      </c>
      <c r="B170" t="s">
        <v>20</v>
      </c>
      <c r="C170">
        <v>13700</v>
      </c>
      <c r="D170">
        <v>41.5</v>
      </c>
      <c r="E170">
        <v>568550</v>
      </c>
      <c r="F170">
        <v>291240</v>
      </c>
      <c r="G170">
        <v>65000</v>
      </c>
      <c r="H170">
        <v>212310</v>
      </c>
      <c r="I170">
        <v>70000</v>
      </c>
      <c r="J170">
        <v>0.30690000000000001</v>
      </c>
      <c r="K170">
        <v>6</v>
      </c>
      <c r="L170">
        <v>0.9919</v>
      </c>
      <c r="M170" t="s">
        <v>112</v>
      </c>
      <c r="N170" t="s">
        <v>21</v>
      </c>
      <c r="O170" t="s">
        <v>22</v>
      </c>
      <c r="P170" t="s">
        <v>23</v>
      </c>
      <c r="Q170">
        <v>60</v>
      </c>
      <c r="R170" t="s">
        <v>24</v>
      </c>
    </row>
    <row r="171" spans="1:18" x14ac:dyDescent="0.35">
      <c r="A171" s="1">
        <v>45931</v>
      </c>
      <c r="B171" t="s">
        <v>25</v>
      </c>
      <c r="C171">
        <v>4761.6000000000004</v>
      </c>
      <c r="D171">
        <v>118</v>
      </c>
      <c r="E171">
        <v>561869</v>
      </c>
      <c r="F171">
        <v>762835</v>
      </c>
      <c r="G171">
        <v>95000</v>
      </c>
      <c r="H171">
        <v>-295966</v>
      </c>
      <c r="I171">
        <v>650000</v>
      </c>
      <c r="J171">
        <v>0.32</v>
      </c>
      <c r="K171">
        <v>12</v>
      </c>
      <c r="L171">
        <v>0.9839</v>
      </c>
      <c r="M171" t="s">
        <v>112</v>
      </c>
      <c r="N171" t="s">
        <v>26</v>
      </c>
      <c r="O171" t="s">
        <v>27</v>
      </c>
      <c r="P171" t="s">
        <v>28</v>
      </c>
      <c r="Q171">
        <v>25</v>
      </c>
      <c r="R171" t="s">
        <v>29</v>
      </c>
    </row>
    <row r="172" spans="1:18" x14ac:dyDescent="0.35">
      <c r="A172" s="1">
        <v>45962</v>
      </c>
      <c r="B172" t="s">
        <v>8</v>
      </c>
      <c r="C172">
        <v>60404.4</v>
      </c>
      <c r="D172">
        <v>88</v>
      </c>
      <c r="E172">
        <v>5315587</v>
      </c>
      <c r="F172">
        <v>1133235</v>
      </c>
      <c r="G172">
        <v>150000</v>
      </c>
      <c r="H172">
        <v>4032352</v>
      </c>
      <c r="I172">
        <v>60000</v>
      </c>
      <c r="J172">
        <v>0.46610000000000001</v>
      </c>
      <c r="K172">
        <v>6</v>
      </c>
      <c r="L172">
        <v>0.99170000000000003</v>
      </c>
      <c r="M172" t="s">
        <v>112</v>
      </c>
      <c r="N172" t="s">
        <v>9</v>
      </c>
      <c r="O172" t="s">
        <v>10</v>
      </c>
      <c r="P172" t="s">
        <v>11</v>
      </c>
      <c r="Q172">
        <v>180</v>
      </c>
      <c r="R172" t="s">
        <v>12</v>
      </c>
    </row>
    <row r="173" spans="1:18" x14ac:dyDescent="0.35">
      <c r="A173" s="1">
        <v>45962</v>
      </c>
      <c r="B173" t="s">
        <v>13</v>
      </c>
      <c r="C173">
        <v>3480.8</v>
      </c>
      <c r="D173">
        <v>81</v>
      </c>
      <c r="E173">
        <v>281941</v>
      </c>
      <c r="F173">
        <v>106138</v>
      </c>
      <c r="G173">
        <v>42000</v>
      </c>
      <c r="H173">
        <v>133802</v>
      </c>
      <c r="I173">
        <v>8000</v>
      </c>
      <c r="J173">
        <v>6.4500000000000002E-2</v>
      </c>
      <c r="K173">
        <v>6</v>
      </c>
      <c r="L173">
        <v>0.99170000000000003</v>
      </c>
      <c r="M173" t="s">
        <v>112</v>
      </c>
      <c r="N173" t="s">
        <v>14</v>
      </c>
      <c r="O173" t="s">
        <v>15</v>
      </c>
      <c r="P173" t="s">
        <v>16</v>
      </c>
      <c r="Q173">
        <v>75</v>
      </c>
      <c r="R173" t="s">
        <v>12</v>
      </c>
    </row>
    <row r="174" spans="1:18" x14ac:dyDescent="0.35">
      <c r="A174" s="1">
        <v>45962</v>
      </c>
      <c r="B174" t="s">
        <v>17</v>
      </c>
      <c r="C174">
        <v>1949.2</v>
      </c>
      <c r="D174">
        <v>81</v>
      </c>
      <c r="E174">
        <v>157887</v>
      </c>
      <c r="F174">
        <v>63238</v>
      </c>
      <c r="G174">
        <v>30000</v>
      </c>
      <c r="H174">
        <v>64649</v>
      </c>
      <c r="I174">
        <v>8000</v>
      </c>
      <c r="J174">
        <v>6.4500000000000002E-2</v>
      </c>
      <c r="K174">
        <v>6</v>
      </c>
      <c r="L174">
        <v>0.99170000000000003</v>
      </c>
      <c r="M174" t="s">
        <v>112</v>
      </c>
      <c r="N174" t="s">
        <v>18</v>
      </c>
      <c r="O174" t="s">
        <v>15</v>
      </c>
      <c r="P174" t="s">
        <v>19</v>
      </c>
      <c r="Q174">
        <v>42</v>
      </c>
      <c r="R174" t="s">
        <v>12</v>
      </c>
    </row>
    <row r="175" spans="1:18" x14ac:dyDescent="0.35">
      <c r="A175" s="1">
        <v>45962</v>
      </c>
      <c r="B175" t="s">
        <v>20</v>
      </c>
      <c r="C175">
        <v>15420</v>
      </c>
      <c r="D175">
        <v>47.05</v>
      </c>
      <c r="E175">
        <v>725511</v>
      </c>
      <c r="F175">
        <v>300184</v>
      </c>
      <c r="G175">
        <v>65000</v>
      </c>
      <c r="H175">
        <v>360327</v>
      </c>
      <c r="I175">
        <v>70000</v>
      </c>
      <c r="J175">
        <v>0.3569</v>
      </c>
      <c r="K175">
        <v>6</v>
      </c>
      <c r="L175">
        <v>0.99170000000000003</v>
      </c>
      <c r="M175" t="s">
        <v>112</v>
      </c>
      <c r="N175" t="s">
        <v>21</v>
      </c>
      <c r="O175" t="s">
        <v>22</v>
      </c>
      <c r="P175" t="s">
        <v>23</v>
      </c>
      <c r="Q175">
        <v>60</v>
      </c>
      <c r="R175" t="s">
        <v>24</v>
      </c>
    </row>
    <row r="176" spans="1:18" x14ac:dyDescent="0.35">
      <c r="A176" s="1">
        <v>45962</v>
      </c>
      <c r="B176" t="s">
        <v>25</v>
      </c>
      <c r="C176">
        <v>4852.8</v>
      </c>
      <c r="D176">
        <v>118</v>
      </c>
      <c r="E176">
        <v>572630</v>
      </c>
      <c r="F176">
        <v>769402</v>
      </c>
      <c r="G176">
        <v>95000</v>
      </c>
      <c r="H176">
        <v>-291771</v>
      </c>
      <c r="I176">
        <v>650000</v>
      </c>
      <c r="J176">
        <v>0.33700000000000002</v>
      </c>
      <c r="K176">
        <v>35</v>
      </c>
      <c r="L176">
        <v>0.95140000000000002</v>
      </c>
      <c r="M176" t="s">
        <v>112</v>
      </c>
      <c r="N176" t="s">
        <v>26</v>
      </c>
      <c r="O176" t="s">
        <v>27</v>
      </c>
      <c r="P176" t="s">
        <v>28</v>
      </c>
      <c r="Q176">
        <v>25</v>
      </c>
      <c r="R176" t="s">
        <v>29</v>
      </c>
    </row>
    <row r="177" spans="1:18" x14ac:dyDescent="0.35">
      <c r="A177" s="1">
        <v>45992</v>
      </c>
      <c r="B177" t="s">
        <v>8</v>
      </c>
      <c r="C177">
        <v>67748.399999999994</v>
      </c>
      <c r="D177">
        <v>94</v>
      </c>
      <c r="E177">
        <v>6368350</v>
      </c>
      <c r="F177">
        <v>1191987</v>
      </c>
      <c r="G177">
        <v>150000</v>
      </c>
      <c r="H177">
        <v>5026362</v>
      </c>
      <c r="I177">
        <v>60000</v>
      </c>
      <c r="J177">
        <v>0.50590000000000002</v>
      </c>
      <c r="K177">
        <v>6</v>
      </c>
      <c r="L177">
        <v>0.9919</v>
      </c>
      <c r="M177" t="s">
        <v>112</v>
      </c>
      <c r="N177" t="s">
        <v>9</v>
      </c>
      <c r="O177" t="s">
        <v>10</v>
      </c>
      <c r="P177" t="s">
        <v>11</v>
      </c>
      <c r="Q177">
        <v>180</v>
      </c>
      <c r="R177" t="s">
        <v>12</v>
      </c>
    </row>
    <row r="178" spans="1:18" x14ac:dyDescent="0.35">
      <c r="A178" s="1">
        <v>45992</v>
      </c>
      <c r="B178" t="s">
        <v>13</v>
      </c>
      <c r="C178">
        <v>2782.5</v>
      </c>
      <c r="D178">
        <v>87</v>
      </c>
      <c r="E178">
        <v>242078</v>
      </c>
      <c r="F178">
        <v>103904</v>
      </c>
      <c r="G178">
        <v>42000</v>
      </c>
      <c r="H178">
        <v>96174</v>
      </c>
      <c r="I178">
        <v>8000</v>
      </c>
      <c r="J178">
        <v>4.99E-2</v>
      </c>
      <c r="K178">
        <v>2</v>
      </c>
      <c r="L178">
        <v>0.99729999999999996</v>
      </c>
      <c r="M178" t="s">
        <v>112</v>
      </c>
      <c r="N178" t="s">
        <v>14</v>
      </c>
      <c r="O178" t="s">
        <v>15</v>
      </c>
      <c r="P178" t="s">
        <v>16</v>
      </c>
      <c r="Q178">
        <v>75</v>
      </c>
      <c r="R178" t="s">
        <v>12</v>
      </c>
    </row>
    <row r="179" spans="1:18" x14ac:dyDescent="0.35">
      <c r="A179" s="1">
        <v>45992</v>
      </c>
      <c r="B179" t="s">
        <v>17</v>
      </c>
      <c r="C179">
        <v>1558.2</v>
      </c>
      <c r="D179">
        <v>87</v>
      </c>
      <c r="E179">
        <v>135563</v>
      </c>
      <c r="F179">
        <v>61986</v>
      </c>
      <c r="G179">
        <v>30000</v>
      </c>
      <c r="H179">
        <v>43577</v>
      </c>
      <c r="I179">
        <v>8000</v>
      </c>
      <c r="J179">
        <v>4.99E-2</v>
      </c>
      <c r="K179">
        <v>2</v>
      </c>
      <c r="L179">
        <v>0.99729999999999996</v>
      </c>
      <c r="M179" t="s">
        <v>112</v>
      </c>
      <c r="N179" t="s">
        <v>18</v>
      </c>
      <c r="O179" t="s">
        <v>15</v>
      </c>
      <c r="P179" t="s">
        <v>19</v>
      </c>
      <c r="Q179">
        <v>42</v>
      </c>
      <c r="R179" t="s">
        <v>12</v>
      </c>
    </row>
    <row r="180" spans="1:18" x14ac:dyDescent="0.35">
      <c r="A180" s="1">
        <v>45992</v>
      </c>
      <c r="B180" t="s">
        <v>20</v>
      </c>
      <c r="C180">
        <v>15740</v>
      </c>
      <c r="D180">
        <v>47.6</v>
      </c>
      <c r="E180">
        <v>749224</v>
      </c>
      <c r="F180">
        <v>301848</v>
      </c>
      <c r="G180">
        <v>65000</v>
      </c>
      <c r="H180">
        <v>382376</v>
      </c>
      <c r="I180">
        <v>70000</v>
      </c>
      <c r="J180">
        <v>0.35260000000000002</v>
      </c>
      <c r="K180">
        <v>6</v>
      </c>
      <c r="L180">
        <v>0.9919</v>
      </c>
      <c r="M180" t="s">
        <v>112</v>
      </c>
      <c r="N180" t="s">
        <v>21</v>
      </c>
      <c r="O180" t="s">
        <v>22</v>
      </c>
      <c r="P180" t="s">
        <v>23</v>
      </c>
      <c r="Q180">
        <v>60</v>
      </c>
      <c r="R180" t="s">
        <v>24</v>
      </c>
    </row>
    <row r="181" spans="1:18" x14ac:dyDescent="0.35">
      <c r="A181" s="1">
        <v>45992</v>
      </c>
      <c r="B181" t="s">
        <v>25</v>
      </c>
      <c r="C181">
        <v>5267.5</v>
      </c>
      <c r="D181">
        <v>118</v>
      </c>
      <c r="E181">
        <v>621567</v>
      </c>
      <c r="F181">
        <v>799261</v>
      </c>
      <c r="G181">
        <v>95000</v>
      </c>
      <c r="H181">
        <v>-272694</v>
      </c>
      <c r="I181">
        <v>650000</v>
      </c>
      <c r="J181">
        <v>0.35399999999999998</v>
      </c>
      <c r="K181">
        <v>12</v>
      </c>
      <c r="L181">
        <v>0.9839</v>
      </c>
      <c r="M181" t="s">
        <v>112</v>
      </c>
      <c r="N181" t="s">
        <v>26</v>
      </c>
      <c r="O181" t="s">
        <v>27</v>
      </c>
      <c r="P181" t="s">
        <v>28</v>
      </c>
      <c r="Q181">
        <v>25</v>
      </c>
      <c r="R181" t="s">
        <v>29</v>
      </c>
    </row>
    <row r="182" spans="1:18" x14ac:dyDescent="0.35">
      <c r="A182" s="1">
        <v>46023</v>
      </c>
      <c r="B182" t="s">
        <v>8</v>
      </c>
      <c r="C182">
        <v>66420</v>
      </c>
      <c r="D182">
        <v>88.48</v>
      </c>
      <c r="E182">
        <v>5876842</v>
      </c>
      <c r="F182">
        <v>1181360</v>
      </c>
      <c r="G182">
        <v>150000</v>
      </c>
      <c r="H182">
        <v>4545482</v>
      </c>
      <c r="I182">
        <v>60000</v>
      </c>
      <c r="J182">
        <v>0.496</v>
      </c>
      <c r="K182">
        <v>6</v>
      </c>
      <c r="L182">
        <v>0.9919</v>
      </c>
      <c r="M182" t="s">
        <v>112</v>
      </c>
      <c r="N182" t="s">
        <v>9</v>
      </c>
      <c r="O182" t="s">
        <v>10</v>
      </c>
      <c r="P182" t="s">
        <v>11</v>
      </c>
      <c r="Q182">
        <v>180</v>
      </c>
      <c r="R182" t="s">
        <v>12</v>
      </c>
    </row>
    <row r="183" spans="1:18" x14ac:dyDescent="0.35">
      <c r="A183" s="1">
        <v>46023</v>
      </c>
      <c r="B183" t="s">
        <v>13</v>
      </c>
      <c r="C183">
        <v>3060.8</v>
      </c>
      <c r="D183">
        <v>81.48</v>
      </c>
      <c r="E183">
        <v>249390</v>
      </c>
      <c r="F183">
        <v>104794</v>
      </c>
      <c r="G183">
        <v>42000</v>
      </c>
      <c r="H183">
        <v>102596</v>
      </c>
      <c r="I183">
        <v>8000</v>
      </c>
      <c r="J183">
        <v>5.4899999999999997E-2</v>
      </c>
      <c r="K183">
        <v>2</v>
      </c>
      <c r="L183">
        <v>0.99729999999999996</v>
      </c>
      <c r="M183" t="s">
        <v>112</v>
      </c>
      <c r="N183" t="s">
        <v>14</v>
      </c>
      <c r="O183" t="s">
        <v>15</v>
      </c>
      <c r="P183" t="s">
        <v>16</v>
      </c>
      <c r="Q183">
        <v>75</v>
      </c>
      <c r="R183" t="s">
        <v>12</v>
      </c>
    </row>
    <row r="184" spans="1:18" x14ac:dyDescent="0.35">
      <c r="A184" s="1">
        <v>46023</v>
      </c>
      <c r="B184" t="s">
        <v>17</v>
      </c>
      <c r="C184">
        <v>1714</v>
      </c>
      <c r="D184">
        <v>81.48</v>
      </c>
      <c r="E184">
        <v>139658</v>
      </c>
      <c r="F184">
        <v>62485</v>
      </c>
      <c r="G184">
        <v>30000</v>
      </c>
      <c r="H184">
        <v>47173</v>
      </c>
      <c r="I184">
        <v>8000</v>
      </c>
      <c r="J184">
        <v>5.4899999999999997E-2</v>
      </c>
      <c r="K184">
        <v>2</v>
      </c>
      <c r="L184">
        <v>0.99729999999999996</v>
      </c>
      <c r="M184" t="s">
        <v>112</v>
      </c>
      <c r="N184" t="s">
        <v>18</v>
      </c>
      <c r="O184" t="s">
        <v>15</v>
      </c>
      <c r="P184" t="s">
        <v>19</v>
      </c>
      <c r="Q184">
        <v>42</v>
      </c>
      <c r="R184" t="s">
        <v>12</v>
      </c>
    </row>
    <row r="185" spans="1:18" x14ac:dyDescent="0.35">
      <c r="A185" s="1">
        <v>46023</v>
      </c>
      <c r="B185" t="s">
        <v>20</v>
      </c>
      <c r="C185">
        <v>16060</v>
      </c>
      <c r="D185">
        <v>48.15</v>
      </c>
      <c r="E185">
        <v>773289</v>
      </c>
      <c r="F185">
        <v>303512</v>
      </c>
      <c r="G185">
        <v>65000</v>
      </c>
      <c r="H185">
        <v>404777</v>
      </c>
      <c r="I185">
        <v>70000</v>
      </c>
      <c r="J185">
        <v>0.35980000000000001</v>
      </c>
      <c r="K185">
        <v>6</v>
      </c>
      <c r="L185">
        <v>0.9919</v>
      </c>
      <c r="M185" t="s">
        <v>112</v>
      </c>
      <c r="N185" t="s">
        <v>21</v>
      </c>
      <c r="O185" t="s">
        <v>22</v>
      </c>
      <c r="P185" t="s">
        <v>23</v>
      </c>
      <c r="Q185">
        <v>60</v>
      </c>
      <c r="R185" t="s">
        <v>24</v>
      </c>
    </row>
    <row r="186" spans="1:18" x14ac:dyDescent="0.35">
      <c r="A186" s="1">
        <v>46023</v>
      </c>
      <c r="B186" t="s">
        <v>25</v>
      </c>
      <c r="C186">
        <v>5520.5</v>
      </c>
      <c r="D186">
        <v>118</v>
      </c>
      <c r="E186">
        <v>651417</v>
      </c>
      <c r="F186">
        <v>817475</v>
      </c>
      <c r="G186">
        <v>95000</v>
      </c>
      <c r="H186">
        <v>-261058</v>
      </c>
      <c r="I186">
        <v>420000</v>
      </c>
      <c r="J186">
        <v>0.371</v>
      </c>
      <c r="K186">
        <v>12</v>
      </c>
      <c r="L186">
        <v>0.9839</v>
      </c>
      <c r="M186" t="s">
        <v>112</v>
      </c>
      <c r="N186" t="s">
        <v>26</v>
      </c>
      <c r="O186" t="s">
        <v>27</v>
      </c>
      <c r="P186" t="s">
        <v>28</v>
      </c>
      <c r="Q186">
        <v>25</v>
      </c>
      <c r="R186" t="s">
        <v>29</v>
      </c>
    </row>
    <row r="187" spans="1:18" x14ac:dyDescent="0.35">
      <c r="A187" s="1">
        <v>46054</v>
      </c>
      <c r="B187" t="s">
        <v>8</v>
      </c>
      <c r="C187">
        <v>56343.6</v>
      </c>
      <c r="D187">
        <v>84.64</v>
      </c>
      <c r="E187">
        <v>4768922</v>
      </c>
      <c r="F187">
        <v>1100749</v>
      </c>
      <c r="G187">
        <v>150000</v>
      </c>
      <c r="H187">
        <v>3518174</v>
      </c>
      <c r="I187">
        <v>60000</v>
      </c>
      <c r="J187">
        <v>0.46579999999999999</v>
      </c>
      <c r="K187">
        <v>6</v>
      </c>
      <c r="L187">
        <v>0.99109999999999998</v>
      </c>
      <c r="M187" t="s">
        <v>112</v>
      </c>
      <c r="N187" t="s">
        <v>9</v>
      </c>
      <c r="O187" t="s">
        <v>10</v>
      </c>
      <c r="P187" t="s">
        <v>11</v>
      </c>
      <c r="Q187">
        <v>180</v>
      </c>
      <c r="R187" t="s">
        <v>12</v>
      </c>
    </row>
    <row r="188" spans="1:18" x14ac:dyDescent="0.35">
      <c r="A188" s="1">
        <v>46054</v>
      </c>
      <c r="B188" t="s">
        <v>13</v>
      </c>
      <c r="C188">
        <v>3996</v>
      </c>
      <c r="D188">
        <v>77.64</v>
      </c>
      <c r="E188">
        <v>310249</v>
      </c>
      <c r="F188">
        <v>107787</v>
      </c>
      <c r="G188">
        <v>42000</v>
      </c>
      <c r="H188">
        <v>160462</v>
      </c>
      <c r="I188">
        <v>8000</v>
      </c>
      <c r="J188">
        <v>7.9299999999999995E-2</v>
      </c>
      <c r="K188">
        <v>6</v>
      </c>
      <c r="L188">
        <v>0.99109999999999998</v>
      </c>
      <c r="M188" t="s">
        <v>112</v>
      </c>
      <c r="N188" t="s">
        <v>14</v>
      </c>
      <c r="O188" t="s">
        <v>15</v>
      </c>
      <c r="P188" t="s">
        <v>16</v>
      </c>
      <c r="Q188">
        <v>75</v>
      </c>
      <c r="R188" t="s">
        <v>12</v>
      </c>
    </row>
    <row r="189" spans="1:18" x14ac:dyDescent="0.35">
      <c r="A189" s="1">
        <v>46054</v>
      </c>
      <c r="B189" t="s">
        <v>17</v>
      </c>
      <c r="C189">
        <v>2237.8000000000002</v>
      </c>
      <c r="D189">
        <v>77.64</v>
      </c>
      <c r="E189">
        <v>173740</v>
      </c>
      <c r="F189">
        <v>64161</v>
      </c>
      <c r="G189">
        <v>30000</v>
      </c>
      <c r="H189">
        <v>79579</v>
      </c>
      <c r="I189">
        <v>8000</v>
      </c>
      <c r="J189">
        <v>7.9299999999999995E-2</v>
      </c>
      <c r="K189">
        <v>6</v>
      </c>
      <c r="L189">
        <v>0.99109999999999998</v>
      </c>
      <c r="M189" t="s">
        <v>112</v>
      </c>
      <c r="N189" t="s">
        <v>18</v>
      </c>
      <c r="O189" t="s">
        <v>15</v>
      </c>
      <c r="P189" t="s">
        <v>19</v>
      </c>
      <c r="Q189">
        <v>42</v>
      </c>
      <c r="R189" t="s">
        <v>12</v>
      </c>
    </row>
    <row r="190" spans="1:18" x14ac:dyDescent="0.35">
      <c r="A190" s="1">
        <v>46054</v>
      </c>
      <c r="B190" t="s">
        <v>20</v>
      </c>
      <c r="C190">
        <v>16380</v>
      </c>
      <c r="D190">
        <v>48.7</v>
      </c>
      <c r="E190">
        <v>797706</v>
      </c>
      <c r="F190">
        <v>305176</v>
      </c>
      <c r="G190">
        <v>65000</v>
      </c>
      <c r="H190">
        <v>427530</v>
      </c>
      <c r="I190">
        <v>70000</v>
      </c>
      <c r="J190">
        <v>0.40620000000000001</v>
      </c>
      <c r="K190">
        <v>6</v>
      </c>
      <c r="L190">
        <v>0.99109999999999998</v>
      </c>
      <c r="M190" t="s">
        <v>112</v>
      </c>
      <c r="N190" t="s">
        <v>21</v>
      </c>
      <c r="O190" t="s">
        <v>22</v>
      </c>
      <c r="P190" t="s">
        <v>23</v>
      </c>
      <c r="Q190">
        <v>60</v>
      </c>
      <c r="R190" t="s">
        <v>24</v>
      </c>
    </row>
    <row r="191" spans="1:18" x14ac:dyDescent="0.35">
      <c r="A191" s="1">
        <v>46054</v>
      </c>
      <c r="B191" t="s">
        <v>25</v>
      </c>
      <c r="C191">
        <v>5214.7</v>
      </c>
      <c r="D191">
        <v>118</v>
      </c>
      <c r="E191">
        <v>615337</v>
      </c>
      <c r="F191">
        <v>795460</v>
      </c>
      <c r="G191">
        <v>95000</v>
      </c>
      <c r="H191">
        <v>-275123</v>
      </c>
      <c r="I191">
        <v>420000</v>
      </c>
      <c r="J191">
        <v>0.38800000000000001</v>
      </c>
      <c r="K191">
        <v>12</v>
      </c>
      <c r="L191">
        <v>0.98209999999999997</v>
      </c>
      <c r="M191" t="s">
        <v>112</v>
      </c>
      <c r="N191" t="s">
        <v>26</v>
      </c>
      <c r="O191" t="s">
        <v>27</v>
      </c>
      <c r="P191" t="s">
        <v>28</v>
      </c>
      <c r="Q191">
        <v>25</v>
      </c>
      <c r="R191" t="s">
        <v>29</v>
      </c>
    </row>
    <row r="192" spans="1:18" x14ac:dyDescent="0.35">
      <c r="A192" s="1">
        <v>46082</v>
      </c>
      <c r="B192" t="s">
        <v>8</v>
      </c>
      <c r="C192">
        <v>58449.599999999999</v>
      </c>
      <c r="D192">
        <v>78.88</v>
      </c>
      <c r="E192">
        <v>4610504</v>
      </c>
      <c r="F192">
        <v>1117597</v>
      </c>
      <c r="G192">
        <v>150000</v>
      </c>
      <c r="H192">
        <v>3342908</v>
      </c>
      <c r="I192">
        <v>60000</v>
      </c>
      <c r="J192">
        <v>0.4365</v>
      </c>
      <c r="K192">
        <v>6</v>
      </c>
      <c r="L192">
        <v>0.9919</v>
      </c>
      <c r="M192" t="s">
        <v>112</v>
      </c>
      <c r="N192" t="s">
        <v>9</v>
      </c>
      <c r="O192" t="s">
        <v>10</v>
      </c>
      <c r="P192" t="s">
        <v>11</v>
      </c>
      <c r="Q192">
        <v>180</v>
      </c>
      <c r="R192" t="s">
        <v>12</v>
      </c>
    </row>
    <row r="193" spans="1:18" x14ac:dyDescent="0.35">
      <c r="A193" s="1">
        <v>46082</v>
      </c>
      <c r="B193" t="s">
        <v>13</v>
      </c>
      <c r="C193">
        <v>6678</v>
      </c>
      <c r="D193">
        <v>71.88</v>
      </c>
      <c r="E193">
        <v>480015</v>
      </c>
      <c r="F193">
        <v>116370</v>
      </c>
      <c r="G193">
        <v>42000</v>
      </c>
      <c r="H193">
        <v>321645</v>
      </c>
      <c r="I193">
        <v>30000</v>
      </c>
      <c r="J193">
        <v>0.1197</v>
      </c>
      <c r="K193">
        <v>2</v>
      </c>
      <c r="L193">
        <v>0.99729999999999996</v>
      </c>
      <c r="M193" t="s">
        <v>112</v>
      </c>
      <c r="N193" t="s">
        <v>14</v>
      </c>
      <c r="O193" t="s">
        <v>15</v>
      </c>
      <c r="P193" t="s">
        <v>16</v>
      </c>
      <c r="Q193">
        <v>75</v>
      </c>
      <c r="R193" t="s">
        <v>12</v>
      </c>
    </row>
    <row r="194" spans="1:18" x14ac:dyDescent="0.35">
      <c r="A194" s="1">
        <v>46082</v>
      </c>
      <c r="B194" t="s">
        <v>17</v>
      </c>
      <c r="C194">
        <v>3739.7</v>
      </c>
      <c r="D194">
        <v>71.88</v>
      </c>
      <c r="E194">
        <v>268808</v>
      </c>
      <c r="F194">
        <v>68967</v>
      </c>
      <c r="G194">
        <v>30000</v>
      </c>
      <c r="H194">
        <v>169841</v>
      </c>
      <c r="I194">
        <v>30000</v>
      </c>
      <c r="J194">
        <v>0.1197</v>
      </c>
      <c r="K194">
        <v>2</v>
      </c>
      <c r="L194">
        <v>0.99729999999999996</v>
      </c>
      <c r="M194" t="s">
        <v>112</v>
      </c>
      <c r="N194" t="s">
        <v>18</v>
      </c>
      <c r="O194" t="s">
        <v>15</v>
      </c>
      <c r="P194" t="s">
        <v>19</v>
      </c>
      <c r="Q194">
        <v>42</v>
      </c>
      <c r="R194" t="s">
        <v>12</v>
      </c>
    </row>
    <row r="195" spans="1:18" x14ac:dyDescent="0.35">
      <c r="A195" s="1">
        <v>46082</v>
      </c>
      <c r="B195" t="s">
        <v>20</v>
      </c>
      <c r="C195">
        <v>15300</v>
      </c>
      <c r="D195">
        <v>44.25</v>
      </c>
      <c r="E195">
        <v>677025</v>
      </c>
      <c r="F195">
        <v>299560</v>
      </c>
      <c r="G195">
        <v>65000</v>
      </c>
      <c r="H195">
        <v>312465</v>
      </c>
      <c r="I195">
        <v>70000</v>
      </c>
      <c r="J195">
        <v>0.3427</v>
      </c>
      <c r="K195">
        <v>18</v>
      </c>
      <c r="L195">
        <v>0.9758</v>
      </c>
      <c r="M195" t="s">
        <v>112</v>
      </c>
      <c r="N195" t="s">
        <v>21</v>
      </c>
      <c r="O195" t="s">
        <v>22</v>
      </c>
      <c r="P195" t="s">
        <v>23</v>
      </c>
      <c r="Q195">
        <v>60</v>
      </c>
      <c r="R195" t="s">
        <v>24</v>
      </c>
    </row>
    <row r="196" spans="1:18" x14ac:dyDescent="0.35">
      <c r="A196" s="1">
        <v>46082</v>
      </c>
      <c r="B196" t="s">
        <v>25</v>
      </c>
      <c r="C196">
        <v>6026.4</v>
      </c>
      <c r="D196">
        <v>118</v>
      </c>
      <c r="E196">
        <v>711115</v>
      </c>
      <c r="F196">
        <v>853901</v>
      </c>
      <c r="G196">
        <v>95000</v>
      </c>
      <c r="H196">
        <v>-237786</v>
      </c>
      <c r="I196">
        <v>420000</v>
      </c>
      <c r="J196">
        <v>0.40500000000000003</v>
      </c>
      <c r="K196">
        <v>12</v>
      </c>
      <c r="L196">
        <v>0.9839</v>
      </c>
      <c r="M196" t="s">
        <v>112</v>
      </c>
      <c r="N196" t="s">
        <v>26</v>
      </c>
      <c r="O196" t="s">
        <v>27</v>
      </c>
      <c r="P196" t="s">
        <v>28</v>
      </c>
      <c r="Q196">
        <v>25</v>
      </c>
      <c r="R196" t="s">
        <v>29</v>
      </c>
    </row>
    <row r="197" spans="1:18" x14ac:dyDescent="0.35">
      <c r="A197" s="1">
        <v>46113</v>
      </c>
      <c r="B197" t="s">
        <v>8</v>
      </c>
      <c r="C197">
        <v>47880</v>
      </c>
      <c r="D197">
        <v>73.12</v>
      </c>
      <c r="E197">
        <v>3500986</v>
      </c>
      <c r="F197">
        <v>1153040</v>
      </c>
      <c r="G197">
        <v>150000</v>
      </c>
      <c r="H197">
        <v>2197946</v>
      </c>
      <c r="I197">
        <v>250000</v>
      </c>
      <c r="J197">
        <v>0.36940000000000001</v>
      </c>
      <c r="K197">
        <v>20</v>
      </c>
      <c r="L197">
        <v>0.97219999999999995</v>
      </c>
      <c r="M197" t="s">
        <v>112</v>
      </c>
      <c r="N197" t="s">
        <v>9</v>
      </c>
      <c r="O197" t="s">
        <v>10</v>
      </c>
      <c r="P197" t="s">
        <v>11</v>
      </c>
      <c r="Q197">
        <v>180</v>
      </c>
      <c r="R197" t="s">
        <v>12</v>
      </c>
    </row>
    <row r="198" spans="1:18" x14ac:dyDescent="0.35">
      <c r="A198" s="1">
        <v>46113</v>
      </c>
      <c r="B198" t="s">
        <v>13</v>
      </c>
      <c r="C198">
        <v>8616</v>
      </c>
      <c r="D198">
        <v>66.12</v>
      </c>
      <c r="E198">
        <v>569690</v>
      </c>
      <c r="F198">
        <v>122571</v>
      </c>
      <c r="G198">
        <v>42000</v>
      </c>
      <c r="H198">
        <v>405119</v>
      </c>
      <c r="I198">
        <v>8000</v>
      </c>
      <c r="J198">
        <v>0.15959999999999999</v>
      </c>
      <c r="K198">
        <v>2</v>
      </c>
      <c r="L198">
        <v>0.99719999999999998</v>
      </c>
      <c r="M198" t="s">
        <v>112</v>
      </c>
      <c r="N198" t="s">
        <v>14</v>
      </c>
      <c r="O198" t="s">
        <v>15</v>
      </c>
      <c r="P198" t="s">
        <v>16</v>
      </c>
      <c r="Q198">
        <v>75</v>
      </c>
      <c r="R198" t="s">
        <v>12</v>
      </c>
    </row>
    <row r="199" spans="1:18" x14ac:dyDescent="0.35">
      <c r="A199" s="1">
        <v>46113</v>
      </c>
      <c r="B199" t="s">
        <v>17</v>
      </c>
      <c r="C199">
        <v>4825</v>
      </c>
      <c r="D199">
        <v>66.12</v>
      </c>
      <c r="E199">
        <v>319026</v>
      </c>
      <c r="F199">
        <v>72440</v>
      </c>
      <c r="G199">
        <v>30000</v>
      </c>
      <c r="H199">
        <v>216586</v>
      </c>
      <c r="I199">
        <v>8000</v>
      </c>
      <c r="J199">
        <v>0.15959999999999999</v>
      </c>
      <c r="K199">
        <v>2</v>
      </c>
      <c r="L199">
        <v>0.99719999999999998</v>
      </c>
      <c r="M199" t="s">
        <v>112</v>
      </c>
      <c r="N199" t="s">
        <v>18</v>
      </c>
      <c r="O199" t="s">
        <v>15</v>
      </c>
      <c r="P199" t="s">
        <v>19</v>
      </c>
      <c r="Q199">
        <v>42</v>
      </c>
      <c r="R199" t="s">
        <v>12</v>
      </c>
    </row>
    <row r="200" spans="1:18" x14ac:dyDescent="0.35">
      <c r="A200" s="1">
        <v>46113</v>
      </c>
      <c r="B200" t="s">
        <v>20</v>
      </c>
      <c r="C200">
        <v>15620</v>
      </c>
      <c r="D200">
        <v>44.8</v>
      </c>
      <c r="E200">
        <v>699776</v>
      </c>
      <c r="F200">
        <v>301224</v>
      </c>
      <c r="G200">
        <v>65000</v>
      </c>
      <c r="H200">
        <v>333552</v>
      </c>
      <c r="I200">
        <v>70000</v>
      </c>
      <c r="J200">
        <v>0.36159999999999998</v>
      </c>
      <c r="K200">
        <v>6</v>
      </c>
      <c r="L200">
        <v>0.99170000000000003</v>
      </c>
      <c r="M200" t="s">
        <v>112</v>
      </c>
      <c r="N200" t="s">
        <v>21</v>
      </c>
      <c r="O200" t="s">
        <v>22</v>
      </c>
      <c r="P200" t="s">
        <v>23</v>
      </c>
      <c r="Q200">
        <v>60</v>
      </c>
      <c r="R200" t="s">
        <v>24</v>
      </c>
    </row>
    <row r="201" spans="1:18" x14ac:dyDescent="0.35">
      <c r="A201" s="1">
        <v>46113</v>
      </c>
      <c r="B201" t="s">
        <v>25</v>
      </c>
      <c r="C201">
        <v>6076.8</v>
      </c>
      <c r="D201">
        <v>118</v>
      </c>
      <c r="E201">
        <v>717062</v>
      </c>
      <c r="F201">
        <v>857530</v>
      </c>
      <c r="G201">
        <v>95000</v>
      </c>
      <c r="H201">
        <v>-235467</v>
      </c>
      <c r="I201">
        <v>420000</v>
      </c>
      <c r="J201">
        <v>0.42199999999999999</v>
      </c>
      <c r="K201">
        <v>12</v>
      </c>
      <c r="L201">
        <v>0.98329999999999995</v>
      </c>
      <c r="M201" t="s">
        <v>112</v>
      </c>
      <c r="N201" t="s">
        <v>26</v>
      </c>
      <c r="O201" t="s">
        <v>27</v>
      </c>
      <c r="P201" t="s">
        <v>28</v>
      </c>
      <c r="Q201">
        <v>25</v>
      </c>
      <c r="R201" t="s">
        <v>29</v>
      </c>
    </row>
    <row r="202" spans="1:18" x14ac:dyDescent="0.35">
      <c r="A202" s="1">
        <v>46143</v>
      </c>
      <c r="B202" t="s">
        <v>8</v>
      </c>
      <c r="C202">
        <v>43837.2</v>
      </c>
      <c r="D202">
        <v>68.319999999999993</v>
      </c>
      <c r="E202">
        <v>2994958</v>
      </c>
      <c r="F202">
        <v>1000698</v>
      </c>
      <c r="G202">
        <v>150000</v>
      </c>
      <c r="H202">
        <v>1844260</v>
      </c>
      <c r="I202">
        <v>60000</v>
      </c>
      <c r="J202">
        <v>0.32729999999999998</v>
      </c>
      <c r="K202">
        <v>6</v>
      </c>
      <c r="L202">
        <v>0.9919</v>
      </c>
      <c r="M202" t="s">
        <v>112</v>
      </c>
      <c r="N202" t="s">
        <v>9</v>
      </c>
      <c r="O202" t="s">
        <v>10</v>
      </c>
      <c r="P202" t="s">
        <v>11</v>
      </c>
      <c r="Q202">
        <v>180</v>
      </c>
      <c r="R202" t="s">
        <v>12</v>
      </c>
    </row>
    <row r="203" spans="1:18" x14ac:dyDescent="0.35">
      <c r="A203" s="1">
        <v>46143</v>
      </c>
      <c r="B203" t="s">
        <v>13</v>
      </c>
      <c r="C203">
        <v>11130</v>
      </c>
      <c r="D203">
        <v>56.32</v>
      </c>
      <c r="E203">
        <v>626842</v>
      </c>
      <c r="F203">
        <v>130616</v>
      </c>
      <c r="G203">
        <v>42000</v>
      </c>
      <c r="H203">
        <v>454226</v>
      </c>
      <c r="I203">
        <v>8000</v>
      </c>
      <c r="J203">
        <v>0.19950000000000001</v>
      </c>
      <c r="K203">
        <v>2</v>
      </c>
      <c r="L203">
        <v>0.99729999999999996</v>
      </c>
      <c r="M203" t="s">
        <v>112</v>
      </c>
      <c r="N203" t="s">
        <v>14</v>
      </c>
      <c r="O203" t="s">
        <v>15</v>
      </c>
      <c r="P203" t="s">
        <v>16</v>
      </c>
      <c r="Q203">
        <v>75</v>
      </c>
      <c r="R203" t="s">
        <v>12</v>
      </c>
    </row>
    <row r="204" spans="1:18" x14ac:dyDescent="0.35">
      <c r="A204" s="1">
        <v>46143</v>
      </c>
      <c r="B204" t="s">
        <v>17</v>
      </c>
      <c r="C204">
        <v>6232.8</v>
      </c>
      <c r="D204">
        <v>56.32</v>
      </c>
      <c r="E204">
        <v>351031</v>
      </c>
      <c r="F204">
        <v>76945</v>
      </c>
      <c r="G204">
        <v>30000</v>
      </c>
      <c r="H204">
        <v>244086</v>
      </c>
      <c r="I204">
        <v>8000</v>
      </c>
      <c r="J204">
        <v>0.19950000000000001</v>
      </c>
      <c r="K204">
        <v>2</v>
      </c>
      <c r="L204">
        <v>0.99729999999999996</v>
      </c>
      <c r="M204" t="s">
        <v>112</v>
      </c>
      <c r="N204" t="s">
        <v>18</v>
      </c>
      <c r="O204" t="s">
        <v>15</v>
      </c>
      <c r="P204" t="s">
        <v>19</v>
      </c>
      <c r="Q204">
        <v>42</v>
      </c>
      <c r="R204" t="s">
        <v>12</v>
      </c>
    </row>
    <row r="205" spans="1:18" x14ac:dyDescent="0.35">
      <c r="A205" s="1">
        <v>46143</v>
      </c>
      <c r="B205" t="s">
        <v>20</v>
      </c>
      <c r="C205">
        <v>15940</v>
      </c>
      <c r="D205">
        <v>45.35</v>
      </c>
      <c r="E205">
        <v>722879</v>
      </c>
      <c r="F205">
        <v>302888</v>
      </c>
      <c r="G205">
        <v>65000</v>
      </c>
      <c r="H205">
        <v>354991</v>
      </c>
      <c r="I205">
        <v>70000</v>
      </c>
      <c r="J205">
        <v>0.35709999999999997</v>
      </c>
      <c r="K205">
        <v>6</v>
      </c>
      <c r="L205">
        <v>0.9919</v>
      </c>
      <c r="M205" t="s">
        <v>112</v>
      </c>
      <c r="N205" t="s">
        <v>21</v>
      </c>
      <c r="O205" t="s">
        <v>22</v>
      </c>
      <c r="P205" t="s">
        <v>23</v>
      </c>
      <c r="Q205">
        <v>60</v>
      </c>
      <c r="R205" t="s">
        <v>24</v>
      </c>
    </row>
    <row r="206" spans="1:18" x14ac:dyDescent="0.35">
      <c r="A206" s="1">
        <v>46143</v>
      </c>
      <c r="B206" t="s">
        <v>25</v>
      </c>
      <c r="C206">
        <v>6532.3</v>
      </c>
      <c r="D206">
        <v>118</v>
      </c>
      <c r="E206">
        <v>770814</v>
      </c>
      <c r="F206">
        <v>890327</v>
      </c>
      <c r="G206">
        <v>95000</v>
      </c>
      <c r="H206">
        <v>-214513</v>
      </c>
      <c r="I206">
        <v>420000</v>
      </c>
      <c r="J206">
        <v>0.439</v>
      </c>
      <c r="K206">
        <v>35</v>
      </c>
      <c r="L206">
        <v>0.95299999999999996</v>
      </c>
      <c r="M206" t="s">
        <v>112</v>
      </c>
      <c r="N206" t="s">
        <v>26</v>
      </c>
      <c r="O206" t="s">
        <v>27</v>
      </c>
      <c r="P206" t="s">
        <v>28</v>
      </c>
      <c r="Q206">
        <v>25</v>
      </c>
      <c r="R206" t="s">
        <v>29</v>
      </c>
    </row>
    <row r="207" spans="1:18" x14ac:dyDescent="0.35">
      <c r="A207" s="1">
        <v>46174</v>
      </c>
      <c r="B207" t="s">
        <v>8</v>
      </c>
      <c r="C207">
        <v>38556</v>
      </c>
      <c r="D207">
        <v>64.48</v>
      </c>
      <c r="E207">
        <v>2486091</v>
      </c>
      <c r="F207">
        <v>958448</v>
      </c>
      <c r="G207">
        <v>150000</v>
      </c>
      <c r="H207">
        <v>1377643</v>
      </c>
      <c r="I207">
        <v>60000</v>
      </c>
      <c r="J207">
        <v>0.29749999999999999</v>
      </c>
      <c r="K207">
        <v>6</v>
      </c>
      <c r="L207">
        <v>0.99170000000000003</v>
      </c>
      <c r="M207" t="s">
        <v>112</v>
      </c>
      <c r="N207" t="s">
        <v>9</v>
      </c>
      <c r="O207" t="s">
        <v>10</v>
      </c>
      <c r="P207" t="s">
        <v>11</v>
      </c>
      <c r="Q207">
        <v>180</v>
      </c>
      <c r="R207" t="s">
        <v>12</v>
      </c>
    </row>
    <row r="208" spans="1:18" x14ac:dyDescent="0.35">
      <c r="A208" s="1">
        <v>46174</v>
      </c>
      <c r="B208" t="s">
        <v>13</v>
      </c>
      <c r="C208">
        <v>12116.2</v>
      </c>
      <c r="D208">
        <v>52.48</v>
      </c>
      <c r="E208">
        <v>635861</v>
      </c>
      <c r="F208">
        <v>133772</v>
      </c>
      <c r="G208">
        <v>42000</v>
      </c>
      <c r="H208">
        <v>460089</v>
      </c>
      <c r="I208">
        <v>8000</v>
      </c>
      <c r="J208">
        <v>0.22439999999999999</v>
      </c>
      <c r="K208">
        <v>2</v>
      </c>
      <c r="L208">
        <v>0.99719999999999998</v>
      </c>
      <c r="M208" t="s">
        <v>112</v>
      </c>
      <c r="N208" t="s">
        <v>14</v>
      </c>
      <c r="O208" t="s">
        <v>15</v>
      </c>
      <c r="P208" t="s">
        <v>16</v>
      </c>
      <c r="Q208">
        <v>75</v>
      </c>
      <c r="R208" t="s">
        <v>12</v>
      </c>
    </row>
    <row r="209" spans="1:18" x14ac:dyDescent="0.35">
      <c r="A209" s="1">
        <v>46174</v>
      </c>
      <c r="B209" t="s">
        <v>17</v>
      </c>
      <c r="C209">
        <v>6785.1</v>
      </c>
      <c r="D209">
        <v>52.48</v>
      </c>
      <c r="E209">
        <v>356082</v>
      </c>
      <c r="F209">
        <v>78712</v>
      </c>
      <c r="G209">
        <v>30000</v>
      </c>
      <c r="H209">
        <v>247370</v>
      </c>
      <c r="I209">
        <v>8000</v>
      </c>
      <c r="J209">
        <v>0.22439999999999999</v>
      </c>
      <c r="K209">
        <v>2</v>
      </c>
      <c r="L209">
        <v>0.99719999999999998</v>
      </c>
      <c r="M209" t="s">
        <v>112</v>
      </c>
      <c r="N209" t="s">
        <v>18</v>
      </c>
      <c r="O209" t="s">
        <v>15</v>
      </c>
      <c r="P209" t="s">
        <v>19</v>
      </c>
      <c r="Q209">
        <v>42</v>
      </c>
      <c r="R209" t="s">
        <v>12</v>
      </c>
    </row>
    <row r="210" spans="1:18" x14ac:dyDescent="0.35">
      <c r="A210" s="1">
        <v>46174</v>
      </c>
      <c r="B210" t="s">
        <v>20</v>
      </c>
      <c r="C210">
        <v>16260</v>
      </c>
      <c r="D210">
        <v>45.9</v>
      </c>
      <c r="E210">
        <v>746334</v>
      </c>
      <c r="F210">
        <v>304552</v>
      </c>
      <c r="G210">
        <v>65000</v>
      </c>
      <c r="H210">
        <v>376782</v>
      </c>
      <c r="I210">
        <v>70000</v>
      </c>
      <c r="J210">
        <v>0.37640000000000001</v>
      </c>
      <c r="K210">
        <v>6</v>
      </c>
      <c r="L210">
        <v>0.99170000000000003</v>
      </c>
      <c r="M210" t="s">
        <v>112</v>
      </c>
      <c r="N210" t="s">
        <v>21</v>
      </c>
      <c r="O210" t="s">
        <v>22</v>
      </c>
      <c r="P210" t="s">
        <v>23</v>
      </c>
      <c r="Q210">
        <v>60</v>
      </c>
      <c r="R210" t="s">
        <v>24</v>
      </c>
    </row>
    <row r="211" spans="1:18" x14ac:dyDescent="0.35">
      <c r="A211" s="1">
        <v>46174</v>
      </c>
      <c r="B211" t="s">
        <v>25</v>
      </c>
      <c r="C211">
        <v>6566.4</v>
      </c>
      <c r="D211">
        <v>118</v>
      </c>
      <c r="E211">
        <v>774835</v>
      </c>
      <c r="F211">
        <v>892781</v>
      </c>
      <c r="G211">
        <v>95000</v>
      </c>
      <c r="H211">
        <v>-212946</v>
      </c>
      <c r="I211">
        <v>420000</v>
      </c>
      <c r="J211">
        <v>0.45600000000000002</v>
      </c>
      <c r="K211">
        <v>12</v>
      </c>
      <c r="L211">
        <v>0.98329999999999995</v>
      </c>
      <c r="M211" t="s">
        <v>112</v>
      </c>
      <c r="N211" t="s">
        <v>26</v>
      </c>
      <c r="O211" t="s">
        <v>27</v>
      </c>
      <c r="P211" t="s">
        <v>28</v>
      </c>
      <c r="Q211">
        <v>25</v>
      </c>
      <c r="R211" t="s">
        <v>29</v>
      </c>
    </row>
    <row r="212" spans="1:18" x14ac:dyDescent="0.35">
      <c r="A212" s="1">
        <v>46204</v>
      </c>
      <c r="B212" t="s">
        <v>8</v>
      </c>
      <c r="C212">
        <v>38523.599999999999</v>
      </c>
      <c r="D212">
        <v>62.56</v>
      </c>
      <c r="E212">
        <v>2410036</v>
      </c>
      <c r="F212">
        <v>958189</v>
      </c>
      <c r="G212">
        <v>150000</v>
      </c>
      <c r="H212">
        <v>1301848</v>
      </c>
      <c r="I212">
        <v>60000</v>
      </c>
      <c r="J212">
        <v>0.28770000000000001</v>
      </c>
      <c r="K212">
        <v>6</v>
      </c>
      <c r="L212">
        <v>0.9919</v>
      </c>
      <c r="M212" t="s">
        <v>112</v>
      </c>
      <c r="N212" t="s">
        <v>9</v>
      </c>
      <c r="O212" t="s">
        <v>10</v>
      </c>
      <c r="P212" t="s">
        <v>11</v>
      </c>
      <c r="Q212">
        <v>180</v>
      </c>
      <c r="R212" t="s">
        <v>12</v>
      </c>
    </row>
    <row r="213" spans="1:18" x14ac:dyDescent="0.35">
      <c r="A213" s="1">
        <v>46204</v>
      </c>
      <c r="B213" t="s">
        <v>13</v>
      </c>
      <c r="C213">
        <v>12799.5</v>
      </c>
      <c r="D213">
        <v>50.56</v>
      </c>
      <c r="E213">
        <v>647143</v>
      </c>
      <c r="F213">
        <v>135958</v>
      </c>
      <c r="G213">
        <v>42000</v>
      </c>
      <c r="H213">
        <v>469184</v>
      </c>
      <c r="I213">
        <v>8000</v>
      </c>
      <c r="J213">
        <v>0.22939999999999999</v>
      </c>
      <c r="K213">
        <v>2</v>
      </c>
      <c r="L213">
        <v>0.99729999999999996</v>
      </c>
      <c r="M213" t="s">
        <v>112</v>
      </c>
      <c r="N213" t="s">
        <v>14</v>
      </c>
      <c r="O213" t="s">
        <v>15</v>
      </c>
      <c r="P213" t="s">
        <v>16</v>
      </c>
      <c r="Q213">
        <v>75</v>
      </c>
      <c r="R213" t="s">
        <v>12</v>
      </c>
    </row>
    <row r="214" spans="1:18" x14ac:dyDescent="0.35">
      <c r="A214" s="1">
        <v>46204</v>
      </c>
      <c r="B214" t="s">
        <v>17</v>
      </c>
      <c r="C214">
        <v>7167.7</v>
      </c>
      <c r="D214">
        <v>50.56</v>
      </c>
      <c r="E214">
        <v>362400</v>
      </c>
      <c r="F214">
        <v>79937</v>
      </c>
      <c r="G214">
        <v>30000</v>
      </c>
      <c r="H214">
        <v>252463</v>
      </c>
      <c r="I214">
        <v>8000</v>
      </c>
      <c r="J214">
        <v>0.22939999999999999</v>
      </c>
      <c r="K214">
        <v>2</v>
      </c>
      <c r="L214">
        <v>0.99729999999999996</v>
      </c>
      <c r="M214" t="s">
        <v>112</v>
      </c>
      <c r="N214" t="s">
        <v>18</v>
      </c>
      <c r="O214" t="s">
        <v>15</v>
      </c>
      <c r="P214" t="s">
        <v>19</v>
      </c>
      <c r="Q214">
        <v>42</v>
      </c>
      <c r="R214" t="s">
        <v>12</v>
      </c>
    </row>
    <row r="215" spans="1:18" x14ac:dyDescent="0.35">
      <c r="A215" s="1">
        <v>46204</v>
      </c>
      <c r="B215" t="s">
        <v>20</v>
      </c>
      <c r="C215">
        <v>16580</v>
      </c>
      <c r="D215">
        <v>46.45</v>
      </c>
      <c r="E215">
        <v>770141</v>
      </c>
      <c r="F215">
        <v>306216</v>
      </c>
      <c r="G215">
        <v>65000</v>
      </c>
      <c r="H215">
        <v>398925</v>
      </c>
      <c r="I215">
        <v>70000</v>
      </c>
      <c r="J215">
        <v>0.37140000000000001</v>
      </c>
      <c r="K215">
        <v>6</v>
      </c>
      <c r="L215">
        <v>0.9919</v>
      </c>
      <c r="M215" t="s">
        <v>112</v>
      </c>
      <c r="N215" t="s">
        <v>21</v>
      </c>
      <c r="O215" t="s">
        <v>22</v>
      </c>
      <c r="P215" t="s">
        <v>23</v>
      </c>
      <c r="Q215">
        <v>60</v>
      </c>
      <c r="R215" t="s">
        <v>24</v>
      </c>
    </row>
    <row r="216" spans="1:18" x14ac:dyDescent="0.35">
      <c r="A216" s="1">
        <v>46204</v>
      </c>
      <c r="B216" t="s">
        <v>25</v>
      </c>
      <c r="C216">
        <v>7038.2</v>
      </c>
      <c r="D216">
        <v>118</v>
      </c>
      <c r="E216">
        <v>830512</v>
      </c>
      <c r="F216">
        <v>926753</v>
      </c>
      <c r="G216">
        <v>95000</v>
      </c>
      <c r="H216">
        <v>-191241</v>
      </c>
      <c r="I216">
        <v>420000</v>
      </c>
      <c r="J216">
        <v>0.47299999999999998</v>
      </c>
      <c r="K216">
        <v>12</v>
      </c>
      <c r="L216">
        <v>0.9839</v>
      </c>
      <c r="M216" t="s">
        <v>112</v>
      </c>
      <c r="N216" t="s">
        <v>26</v>
      </c>
      <c r="O216" t="s">
        <v>27</v>
      </c>
      <c r="P216" t="s">
        <v>28</v>
      </c>
      <c r="Q216">
        <v>25</v>
      </c>
      <c r="R216" t="s">
        <v>29</v>
      </c>
    </row>
    <row r="217" spans="1:18" x14ac:dyDescent="0.35">
      <c r="A217" s="1">
        <v>46235</v>
      </c>
      <c r="B217" t="s">
        <v>8</v>
      </c>
      <c r="C217">
        <v>41180.400000000001</v>
      </c>
      <c r="D217">
        <v>65.44</v>
      </c>
      <c r="E217">
        <v>2694845</v>
      </c>
      <c r="F217">
        <v>979443</v>
      </c>
      <c r="G217">
        <v>150000</v>
      </c>
      <c r="H217">
        <v>1565402</v>
      </c>
      <c r="I217">
        <v>60000</v>
      </c>
      <c r="J217">
        <v>0.3075</v>
      </c>
      <c r="K217">
        <v>6</v>
      </c>
      <c r="L217">
        <v>0.9919</v>
      </c>
      <c r="M217" t="s">
        <v>112</v>
      </c>
      <c r="N217" t="s">
        <v>9</v>
      </c>
      <c r="O217" t="s">
        <v>10</v>
      </c>
      <c r="P217" t="s">
        <v>11</v>
      </c>
      <c r="Q217">
        <v>180</v>
      </c>
      <c r="R217" t="s">
        <v>12</v>
      </c>
    </row>
    <row r="218" spans="1:18" x14ac:dyDescent="0.35">
      <c r="A218" s="1">
        <v>46235</v>
      </c>
      <c r="B218" t="s">
        <v>13</v>
      </c>
      <c r="C218">
        <v>11408.2</v>
      </c>
      <c r="D218">
        <v>53.44</v>
      </c>
      <c r="E218">
        <v>609657</v>
      </c>
      <c r="F218">
        <v>131506</v>
      </c>
      <c r="G218">
        <v>42000</v>
      </c>
      <c r="H218">
        <v>436150</v>
      </c>
      <c r="I218">
        <v>8000</v>
      </c>
      <c r="J218">
        <v>0.2044</v>
      </c>
      <c r="K218">
        <v>2</v>
      </c>
      <c r="L218">
        <v>0.99729999999999996</v>
      </c>
      <c r="M218" t="s">
        <v>112</v>
      </c>
      <c r="N218" t="s">
        <v>14</v>
      </c>
      <c r="O218" t="s">
        <v>15</v>
      </c>
      <c r="P218" t="s">
        <v>16</v>
      </c>
      <c r="Q218">
        <v>75</v>
      </c>
      <c r="R218" t="s">
        <v>12</v>
      </c>
    </row>
    <row r="219" spans="1:18" x14ac:dyDescent="0.35">
      <c r="A219" s="1">
        <v>46235</v>
      </c>
      <c r="B219" t="s">
        <v>17</v>
      </c>
      <c r="C219">
        <v>6388.6</v>
      </c>
      <c r="D219">
        <v>53.44</v>
      </c>
      <c r="E219">
        <v>341408</v>
      </c>
      <c r="F219">
        <v>77444</v>
      </c>
      <c r="G219">
        <v>30000</v>
      </c>
      <c r="H219">
        <v>233964</v>
      </c>
      <c r="I219">
        <v>8000</v>
      </c>
      <c r="J219">
        <v>0.2044</v>
      </c>
      <c r="K219">
        <v>2</v>
      </c>
      <c r="L219">
        <v>0.99729999999999996</v>
      </c>
      <c r="M219" t="s">
        <v>112</v>
      </c>
      <c r="N219" t="s">
        <v>18</v>
      </c>
      <c r="O219" t="s">
        <v>15</v>
      </c>
      <c r="P219" t="s">
        <v>19</v>
      </c>
      <c r="Q219">
        <v>42</v>
      </c>
      <c r="R219" t="s">
        <v>12</v>
      </c>
    </row>
    <row r="220" spans="1:18" x14ac:dyDescent="0.35">
      <c r="A220" s="1">
        <v>46235</v>
      </c>
      <c r="B220" t="s">
        <v>20</v>
      </c>
      <c r="C220">
        <v>16900</v>
      </c>
      <c r="D220">
        <v>47</v>
      </c>
      <c r="E220">
        <v>794300</v>
      </c>
      <c r="F220">
        <v>307880</v>
      </c>
      <c r="G220">
        <v>65000</v>
      </c>
      <c r="H220">
        <v>421420</v>
      </c>
      <c r="I220">
        <v>70000</v>
      </c>
      <c r="J220">
        <v>0.37859999999999999</v>
      </c>
      <c r="K220">
        <v>6</v>
      </c>
      <c r="L220">
        <v>0.9919</v>
      </c>
      <c r="M220" t="s">
        <v>112</v>
      </c>
      <c r="N220" t="s">
        <v>21</v>
      </c>
      <c r="O220" t="s">
        <v>22</v>
      </c>
      <c r="P220" t="s">
        <v>23</v>
      </c>
      <c r="Q220">
        <v>60</v>
      </c>
      <c r="R220" t="s">
        <v>24</v>
      </c>
    </row>
    <row r="221" spans="1:18" x14ac:dyDescent="0.35">
      <c r="A221" s="1">
        <v>46235</v>
      </c>
      <c r="B221" t="s">
        <v>25</v>
      </c>
      <c r="C221">
        <v>7291.2</v>
      </c>
      <c r="D221">
        <v>118</v>
      </c>
      <c r="E221">
        <v>860362</v>
      </c>
      <c r="F221">
        <v>944966</v>
      </c>
      <c r="G221">
        <v>95000</v>
      </c>
      <c r="H221">
        <v>-179605</v>
      </c>
      <c r="I221">
        <v>420000</v>
      </c>
      <c r="J221">
        <v>0.49</v>
      </c>
      <c r="K221">
        <v>12</v>
      </c>
      <c r="L221">
        <v>0.9839</v>
      </c>
      <c r="M221" t="s">
        <v>112</v>
      </c>
      <c r="N221" t="s">
        <v>26</v>
      </c>
      <c r="O221" t="s">
        <v>27</v>
      </c>
      <c r="P221" t="s">
        <v>28</v>
      </c>
      <c r="Q221">
        <v>25</v>
      </c>
      <c r="R221" t="s">
        <v>29</v>
      </c>
    </row>
    <row r="222" spans="1:18" x14ac:dyDescent="0.35">
      <c r="A222" s="1">
        <v>46266</v>
      </c>
      <c r="B222" t="s">
        <v>8</v>
      </c>
      <c r="C222">
        <v>46267.199999999997</v>
      </c>
      <c r="D222">
        <v>71.2</v>
      </c>
      <c r="E222">
        <v>3294225</v>
      </c>
      <c r="F222">
        <v>1020138</v>
      </c>
      <c r="G222">
        <v>150000</v>
      </c>
      <c r="H222">
        <v>2124087</v>
      </c>
      <c r="I222">
        <v>60000</v>
      </c>
      <c r="J222">
        <v>0.35699999999999998</v>
      </c>
      <c r="K222">
        <v>6</v>
      </c>
      <c r="L222">
        <v>0.99170000000000003</v>
      </c>
      <c r="M222" t="s">
        <v>112</v>
      </c>
      <c r="N222" t="s">
        <v>9</v>
      </c>
      <c r="O222" t="s">
        <v>10</v>
      </c>
      <c r="P222" t="s">
        <v>11</v>
      </c>
      <c r="Q222">
        <v>180</v>
      </c>
      <c r="R222" t="s">
        <v>12</v>
      </c>
    </row>
    <row r="223" spans="1:18" x14ac:dyDescent="0.35">
      <c r="A223" s="1">
        <v>46266</v>
      </c>
      <c r="B223" t="s">
        <v>13</v>
      </c>
      <c r="C223">
        <v>8346.7999999999993</v>
      </c>
      <c r="D223">
        <v>64.2</v>
      </c>
      <c r="E223">
        <v>535861</v>
      </c>
      <c r="F223">
        <v>121710</v>
      </c>
      <c r="G223">
        <v>42000</v>
      </c>
      <c r="H223">
        <v>372152</v>
      </c>
      <c r="I223">
        <v>30000</v>
      </c>
      <c r="J223">
        <v>0.15459999999999999</v>
      </c>
      <c r="K223">
        <v>2</v>
      </c>
      <c r="L223">
        <v>0.99719999999999998</v>
      </c>
      <c r="M223" t="s">
        <v>112</v>
      </c>
      <c r="N223" t="s">
        <v>14</v>
      </c>
      <c r="O223" t="s">
        <v>15</v>
      </c>
      <c r="P223" t="s">
        <v>16</v>
      </c>
      <c r="Q223">
        <v>75</v>
      </c>
      <c r="R223" t="s">
        <v>12</v>
      </c>
    </row>
    <row r="224" spans="1:18" x14ac:dyDescent="0.35">
      <c r="A224" s="1">
        <v>46266</v>
      </c>
      <c r="B224" t="s">
        <v>17</v>
      </c>
      <c r="C224">
        <v>4674.2</v>
      </c>
      <c r="D224">
        <v>64.2</v>
      </c>
      <c r="E224">
        <v>300082</v>
      </c>
      <c r="F224">
        <v>71957</v>
      </c>
      <c r="G224">
        <v>30000</v>
      </c>
      <c r="H224">
        <v>198125</v>
      </c>
      <c r="I224">
        <v>30000</v>
      </c>
      <c r="J224">
        <v>0.15459999999999999</v>
      </c>
      <c r="K224">
        <v>2</v>
      </c>
      <c r="L224">
        <v>0.99719999999999998</v>
      </c>
      <c r="M224" t="s">
        <v>112</v>
      </c>
      <c r="N224" t="s">
        <v>18</v>
      </c>
      <c r="O224" t="s">
        <v>15</v>
      </c>
      <c r="P224" t="s">
        <v>19</v>
      </c>
      <c r="Q224">
        <v>42</v>
      </c>
      <c r="R224" t="s">
        <v>12</v>
      </c>
    </row>
    <row r="225" spans="1:18" x14ac:dyDescent="0.35">
      <c r="A225" s="1">
        <v>46266</v>
      </c>
      <c r="B225" t="s">
        <v>20</v>
      </c>
      <c r="C225">
        <v>17220</v>
      </c>
      <c r="D225">
        <v>47.55</v>
      </c>
      <c r="E225">
        <v>818811</v>
      </c>
      <c r="F225">
        <v>309544</v>
      </c>
      <c r="G225">
        <v>65000</v>
      </c>
      <c r="H225">
        <v>444267</v>
      </c>
      <c r="I225">
        <v>70000</v>
      </c>
      <c r="J225">
        <v>0.39860000000000001</v>
      </c>
      <c r="K225">
        <v>18</v>
      </c>
      <c r="L225">
        <v>0.97499999999999998</v>
      </c>
      <c r="M225" t="s">
        <v>112</v>
      </c>
      <c r="N225" t="s">
        <v>21</v>
      </c>
      <c r="O225" t="s">
        <v>22</v>
      </c>
      <c r="P225" t="s">
        <v>23</v>
      </c>
      <c r="Q225">
        <v>60</v>
      </c>
      <c r="R225" t="s">
        <v>24</v>
      </c>
    </row>
    <row r="226" spans="1:18" x14ac:dyDescent="0.35">
      <c r="A226" s="1">
        <v>46266</v>
      </c>
      <c r="B226" t="s">
        <v>25</v>
      </c>
      <c r="C226">
        <v>7300.8</v>
      </c>
      <c r="D226">
        <v>118</v>
      </c>
      <c r="E226">
        <v>861494</v>
      </c>
      <c r="F226">
        <v>945658</v>
      </c>
      <c r="G226">
        <v>95000</v>
      </c>
      <c r="H226">
        <v>-179163</v>
      </c>
      <c r="I226">
        <v>420000</v>
      </c>
      <c r="J226">
        <v>0.50700000000000001</v>
      </c>
      <c r="K226">
        <v>12</v>
      </c>
      <c r="L226">
        <v>0.98329999999999995</v>
      </c>
      <c r="M226" t="s">
        <v>112</v>
      </c>
      <c r="N226" t="s">
        <v>26</v>
      </c>
      <c r="O226" t="s">
        <v>27</v>
      </c>
      <c r="P226" t="s">
        <v>28</v>
      </c>
      <c r="Q226">
        <v>25</v>
      </c>
      <c r="R226" t="s">
        <v>29</v>
      </c>
    </row>
    <row r="227" spans="1:18" x14ac:dyDescent="0.35">
      <c r="A227" s="1">
        <v>46296</v>
      </c>
      <c r="B227" t="s">
        <v>8</v>
      </c>
      <c r="C227">
        <v>54734.400000000001</v>
      </c>
      <c r="D227">
        <v>78.88</v>
      </c>
      <c r="E227">
        <v>4317449</v>
      </c>
      <c r="F227">
        <v>1207875</v>
      </c>
      <c r="G227">
        <v>150000</v>
      </c>
      <c r="H227">
        <v>2959574</v>
      </c>
      <c r="I227">
        <v>250000</v>
      </c>
      <c r="J227">
        <v>0.40870000000000001</v>
      </c>
      <c r="K227">
        <v>20</v>
      </c>
      <c r="L227">
        <v>0.97309999999999997</v>
      </c>
      <c r="M227" t="s">
        <v>112</v>
      </c>
      <c r="N227" t="s">
        <v>9</v>
      </c>
      <c r="O227" t="s">
        <v>10</v>
      </c>
      <c r="P227" t="s">
        <v>11</v>
      </c>
      <c r="Q227">
        <v>180</v>
      </c>
      <c r="R227" t="s">
        <v>12</v>
      </c>
    </row>
    <row r="228" spans="1:18" x14ac:dyDescent="0.35">
      <c r="A228" s="1">
        <v>46296</v>
      </c>
      <c r="B228" t="s">
        <v>13</v>
      </c>
      <c r="C228">
        <v>5843.2</v>
      </c>
      <c r="D228">
        <v>71.88</v>
      </c>
      <c r="E228">
        <v>420013</v>
      </c>
      <c r="F228">
        <v>113698</v>
      </c>
      <c r="G228">
        <v>42000</v>
      </c>
      <c r="H228">
        <v>264314</v>
      </c>
      <c r="I228">
        <v>8000</v>
      </c>
      <c r="J228">
        <v>0.1047</v>
      </c>
      <c r="K228">
        <v>2</v>
      </c>
      <c r="L228">
        <v>0.99729999999999996</v>
      </c>
      <c r="M228" t="s">
        <v>112</v>
      </c>
      <c r="N228" t="s">
        <v>14</v>
      </c>
      <c r="O228" t="s">
        <v>15</v>
      </c>
      <c r="P228" t="s">
        <v>16</v>
      </c>
      <c r="Q228">
        <v>75</v>
      </c>
      <c r="R228" t="s">
        <v>12</v>
      </c>
    </row>
    <row r="229" spans="1:18" x14ac:dyDescent="0.35">
      <c r="A229" s="1">
        <v>46296</v>
      </c>
      <c r="B229" t="s">
        <v>17</v>
      </c>
      <c r="C229">
        <v>3272.2</v>
      </c>
      <c r="D229">
        <v>71.88</v>
      </c>
      <c r="E229">
        <v>235207</v>
      </c>
      <c r="F229">
        <v>67471</v>
      </c>
      <c r="G229">
        <v>30000</v>
      </c>
      <c r="H229">
        <v>137736</v>
      </c>
      <c r="I229">
        <v>8000</v>
      </c>
      <c r="J229">
        <v>0.1047</v>
      </c>
      <c r="K229">
        <v>2</v>
      </c>
      <c r="L229">
        <v>0.99729999999999996</v>
      </c>
      <c r="M229" t="s">
        <v>112</v>
      </c>
      <c r="N229" t="s">
        <v>18</v>
      </c>
      <c r="O229" t="s">
        <v>15</v>
      </c>
      <c r="P229" t="s">
        <v>19</v>
      </c>
      <c r="Q229">
        <v>42</v>
      </c>
      <c r="R229" t="s">
        <v>12</v>
      </c>
    </row>
    <row r="230" spans="1:18" x14ac:dyDescent="0.35">
      <c r="A230" s="1">
        <v>46296</v>
      </c>
      <c r="B230" t="s">
        <v>20</v>
      </c>
      <c r="C230">
        <v>17540</v>
      </c>
      <c r="D230">
        <v>48.1</v>
      </c>
      <c r="E230">
        <v>843674</v>
      </c>
      <c r="F230">
        <v>311208</v>
      </c>
      <c r="G230">
        <v>65000</v>
      </c>
      <c r="H230">
        <v>467466</v>
      </c>
      <c r="I230">
        <v>70000</v>
      </c>
      <c r="J230">
        <v>0.39290000000000003</v>
      </c>
      <c r="K230">
        <v>6</v>
      </c>
      <c r="L230">
        <v>0.9919</v>
      </c>
      <c r="M230" t="s">
        <v>112</v>
      </c>
      <c r="N230" t="s">
        <v>21</v>
      </c>
      <c r="O230" t="s">
        <v>22</v>
      </c>
      <c r="P230" t="s">
        <v>23</v>
      </c>
      <c r="Q230">
        <v>60</v>
      </c>
      <c r="R230" t="s">
        <v>24</v>
      </c>
    </row>
    <row r="231" spans="1:18" x14ac:dyDescent="0.35">
      <c r="A231" s="1">
        <v>46296</v>
      </c>
      <c r="B231" t="s">
        <v>25</v>
      </c>
      <c r="C231">
        <v>7797.1</v>
      </c>
      <c r="D231">
        <v>118</v>
      </c>
      <c r="E231">
        <v>920060</v>
      </c>
      <c r="F231">
        <v>981393</v>
      </c>
      <c r="G231">
        <v>95000</v>
      </c>
      <c r="H231">
        <v>-156332</v>
      </c>
      <c r="I231">
        <v>420000</v>
      </c>
      <c r="J231">
        <v>0.52400000000000002</v>
      </c>
      <c r="K231">
        <v>12</v>
      </c>
      <c r="L231">
        <v>0.9839</v>
      </c>
      <c r="M231" t="s">
        <v>112</v>
      </c>
      <c r="N231" t="s">
        <v>26</v>
      </c>
      <c r="O231" t="s">
        <v>27</v>
      </c>
      <c r="P231" t="s">
        <v>28</v>
      </c>
      <c r="Q231">
        <v>25</v>
      </c>
      <c r="R231" t="s">
        <v>29</v>
      </c>
    </row>
    <row r="232" spans="1:18" x14ac:dyDescent="0.35">
      <c r="A232" s="1">
        <v>46327</v>
      </c>
      <c r="B232" t="s">
        <v>8</v>
      </c>
      <c r="C232">
        <v>60404.4</v>
      </c>
      <c r="D232">
        <v>84.64</v>
      </c>
      <c r="E232">
        <v>5112628</v>
      </c>
      <c r="F232">
        <v>1133235</v>
      </c>
      <c r="G232">
        <v>150000</v>
      </c>
      <c r="H232">
        <v>3829393</v>
      </c>
      <c r="I232">
        <v>60000</v>
      </c>
      <c r="J232">
        <v>0.46610000000000001</v>
      </c>
      <c r="K232">
        <v>6</v>
      </c>
      <c r="L232">
        <v>0.99170000000000003</v>
      </c>
      <c r="M232" t="s">
        <v>112</v>
      </c>
      <c r="N232" t="s">
        <v>9</v>
      </c>
      <c r="O232" t="s">
        <v>10</v>
      </c>
      <c r="P232" t="s">
        <v>11</v>
      </c>
      <c r="Q232">
        <v>180</v>
      </c>
      <c r="R232" t="s">
        <v>12</v>
      </c>
    </row>
    <row r="233" spans="1:18" x14ac:dyDescent="0.35">
      <c r="A233" s="1">
        <v>46327</v>
      </c>
      <c r="B233" t="s">
        <v>13</v>
      </c>
      <c r="C233">
        <v>3480.8</v>
      </c>
      <c r="D233">
        <v>77.64</v>
      </c>
      <c r="E233">
        <v>270245</v>
      </c>
      <c r="F233">
        <v>106138</v>
      </c>
      <c r="G233">
        <v>42000</v>
      </c>
      <c r="H233">
        <v>122107</v>
      </c>
      <c r="I233">
        <v>8000</v>
      </c>
      <c r="J233">
        <v>6.4500000000000002E-2</v>
      </c>
      <c r="K233">
        <v>6</v>
      </c>
      <c r="L233">
        <v>0.99170000000000003</v>
      </c>
      <c r="M233" t="s">
        <v>112</v>
      </c>
      <c r="N233" t="s">
        <v>14</v>
      </c>
      <c r="O233" t="s">
        <v>15</v>
      </c>
      <c r="P233" t="s">
        <v>16</v>
      </c>
      <c r="Q233">
        <v>75</v>
      </c>
      <c r="R233" t="s">
        <v>12</v>
      </c>
    </row>
    <row r="234" spans="1:18" x14ac:dyDescent="0.35">
      <c r="A234" s="1">
        <v>46327</v>
      </c>
      <c r="B234" t="s">
        <v>17</v>
      </c>
      <c r="C234">
        <v>1949.2</v>
      </c>
      <c r="D234">
        <v>77.64</v>
      </c>
      <c r="E234">
        <v>151337</v>
      </c>
      <c r="F234">
        <v>63238</v>
      </c>
      <c r="G234">
        <v>30000</v>
      </c>
      <c r="H234">
        <v>58100</v>
      </c>
      <c r="I234">
        <v>8000</v>
      </c>
      <c r="J234">
        <v>6.4500000000000002E-2</v>
      </c>
      <c r="K234">
        <v>6</v>
      </c>
      <c r="L234">
        <v>0.99170000000000003</v>
      </c>
      <c r="M234" t="s">
        <v>112</v>
      </c>
      <c r="N234" t="s">
        <v>18</v>
      </c>
      <c r="O234" t="s">
        <v>15</v>
      </c>
      <c r="P234" t="s">
        <v>19</v>
      </c>
      <c r="Q234">
        <v>42</v>
      </c>
      <c r="R234" t="s">
        <v>12</v>
      </c>
    </row>
    <row r="235" spans="1:18" x14ac:dyDescent="0.35">
      <c r="A235" s="1">
        <v>46327</v>
      </c>
      <c r="B235" t="s">
        <v>20</v>
      </c>
      <c r="C235">
        <v>19260</v>
      </c>
      <c r="D235">
        <v>53.65</v>
      </c>
      <c r="E235">
        <v>1033299</v>
      </c>
      <c r="F235">
        <v>320152</v>
      </c>
      <c r="G235">
        <v>65000</v>
      </c>
      <c r="H235">
        <v>648147</v>
      </c>
      <c r="I235">
        <v>70000</v>
      </c>
      <c r="J235">
        <v>0.44579999999999997</v>
      </c>
      <c r="K235">
        <v>6</v>
      </c>
      <c r="L235">
        <v>0.99170000000000003</v>
      </c>
      <c r="M235" t="s">
        <v>112</v>
      </c>
      <c r="N235" t="s">
        <v>21</v>
      </c>
      <c r="O235" t="s">
        <v>22</v>
      </c>
      <c r="P235" t="s">
        <v>23</v>
      </c>
      <c r="Q235">
        <v>60</v>
      </c>
      <c r="R235" t="s">
        <v>24</v>
      </c>
    </row>
    <row r="236" spans="1:18" x14ac:dyDescent="0.35">
      <c r="A236" s="1">
        <v>46327</v>
      </c>
      <c r="B236" t="s">
        <v>25</v>
      </c>
      <c r="C236">
        <v>7776</v>
      </c>
      <c r="D236">
        <v>118</v>
      </c>
      <c r="E236">
        <v>917568</v>
      </c>
      <c r="F236">
        <v>979872</v>
      </c>
      <c r="G236">
        <v>95000</v>
      </c>
      <c r="H236">
        <v>-157304</v>
      </c>
      <c r="I236">
        <v>420000</v>
      </c>
      <c r="J236">
        <v>0.54</v>
      </c>
      <c r="K236">
        <v>35</v>
      </c>
      <c r="L236">
        <v>0.95140000000000002</v>
      </c>
      <c r="M236" t="s">
        <v>112</v>
      </c>
      <c r="N236" t="s">
        <v>26</v>
      </c>
      <c r="O236" t="s">
        <v>27</v>
      </c>
      <c r="P236" t="s">
        <v>28</v>
      </c>
      <c r="Q236">
        <v>25</v>
      </c>
      <c r="R236" t="s">
        <v>29</v>
      </c>
    </row>
    <row r="237" spans="1:18" x14ac:dyDescent="0.35">
      <c r="A237" s="1">
        <v>46357</v>
      </c>
      <c r="B237" t="s">
        <v>8</v>
      </c>
      <c r="C237">
        <v>67748.399999999994</v>
      </c>
      <c r="D237">
        <v>90.4</v>
      </c>
      <c r="E237">
        <v>6124455</v>
      </c>
      <c r="F237">
        <v>1191987</v>
      </c>
      <c r="G237">
        <v>150000</v>
      </c>
      <c r="H237">
        <v>4782468</v>
      </c>
      <c r="I237">
        <v>60000</v>
      </c>
      <c r="J237">
        <v>0.50590000000000002</v>
      </c>
      <c r="K237">
        <v>6</v>
      </c>
      <c r="L237">
        <v>0.9919</v>
      </c>
      <c r="M237" t="s">
        <v>112</v>
      </c>
      <c r="N237" t="s">
        <v>9</v>
      </c>
      <c r="O237" t="s">
        <v>10</v>
      </c>
      <c r="P237" t="s">
        <v>11</v>
      </c>
      <c r="Q237">
        <v>180</v>
      </c>
      <c r="R237" t="s">
        <v>12</v>
      </c>
    </row>
    <row r="238" spans="1:18" x14ac:dyDescent="0.35">
      <c r="A238" s="1">
        <v>46357</v>
      </c>
      <c r="B238" t="s">
        <v>13</v>
      </c>
      <c r="C238">
        <v>2782.5</v>
      </c>
      <c r="D238">
        <v>83.4</v>
      </c>
      <c r="E238">
        <v>232060</v>
      </c>
      <c r="F238">
        <v>103904</v>
      </c>
      <c r="G238">
        <v>42000</v>
      </c>
      <c r="H238">
        <v>86156</v>
      </c>
      <c r="I238">
        <v>8000</v>
      </c>
      <c r="J238">
        <v>4.99E-2</v>
      </c>
      <c r="K238">
        <v>2</v>
      </c>
      <c r="L238">
        <v>0.99729999999999996</v>
      </c>
      <c r="M238" t="s">
        <v>112</v>
      </c>
      <c r="N238" t="s">
        <v>14</v>
      </c>
      <c r="O238" t="s">
        <v>15</v>
      </c>
      <c r="P238" t="s">
        <v>16</v>
      </c>
      <c r="Q238">
        <v>75</v>
      </c>
      <c r="R238" t="s">
        <v>12</v>
      </c>
    </row>
    <row r="239" spans="1:18" x14ac:dyDescent="0.35">
      <c r="A239" s="1">
        <v>46357</v>
      </c>
      <c r="B239" t="s">
        <v>17</v>
      </c>
      <c r="C239">
        <v>1558.2</v>
      </c>
      <c r="D239">
        <v>83.4</v>
      </c>
      <c r="E239">
        <v>129954</v>
      </c>
      <c r="F239">
        <v>61986</v>
      </c>
      <c r="G239">
        <v>30000</v>
      </c>
      <c r="H239">
        <v>37968</v>
      </c>
      <c r="I239">
        <v>8000</v>
      </c>
      <c r="J239">
        <v>4.99E-2</v>
      </c>
      <c r="K239">
        <v>2</v>
      </c>
      <c r="L239">
        <v>0.99729999999999996</v>
      </c>
      <c r="M239" t="s">
        <v>112</v>
      </c>
      <c r="N239" t="s">
        <v>18</v>
      </c>
      <c r="O239" t="s">
        <v>15</v>
      </c>
      <c r="P239" t="s">
        <v>19</v>
      </c>
      <c r="Q239">
        <v>42</v>
      </c>
      <c r="R239" t="s">
        <v>12</v>
      </c>
    </row>
    <row r="240" spans="1:18" x14ac:dyDescent="0.35">
      <c r="A240" s="1">
        <v>46357</v>
      </c>
      <c r="B240" t="s">
        <v>20</v>
      </c>
      <c r="C240">
        <v>19580</v>
      </c>
      <c r="D240">
        <v>54.2</v>
      </c>
      <c r="E240">
        <v>1061236</v>
      </c>
      <c r="F240">
        <v>321816</v>
      </c>
      <c r="G240">
        <v>65000</v>
      </c>
      <c r="H240">
        <v>674420</v>
      </c>
      <c r="I240">
        <v>70000</v>
      </c>
      <c r="J240">
        <v>0.43859999999999999</v>
      </c>
      <c r="K240">
        <v>6</v>
      </c>
      <c r="L240">
        <v>0.9919</v>
      </c>
      <c r="M240" t="s">
        <v>112</v>
      </c>
      <c r="N240" t="s">
        <v>21</v>
      </c>
      <c r="O240" t="s">
        <v>22</v>
      </c>
      <c r="P240" t="s">
        <v>23</v>
      </c>
      <c r="Q240">
        <v>60</v>
      </c>
      <c r="R240" t="s">
        <v>24</v>
      </c>
    </row>
    <row r="241" spans="1:18" x14ac:dyDescent="0.35">
      <c r="A241" s="1">
        <v>46357</v>
      </c>
      <c r="B241" t="s">
        <v>25</v>
      </c>
      <c r="C241">
        <v>8035.2</v>
      </c>
      <c r="D241">
        <v>118</v>
      </c>
      <c r="E241">
        <v>948154</v>
      </c>
      <c r="F241">
        <v>998534</v>
      </c>
      <c r="G241">
        <v>95000</v>
      </c>
      <c r="H241">
        <v>-145381</v>
      </c>
      <c r="I241">
        <v>420000</v>
      </c>
      <c r="J241">
        <v>0.54</v>
      </c>
      <c r="K241">
        <v>12</v>
      </c>
      <c r="L241">
        <v>0.9839</v>
      </c>
      <c r="M241" t="s">
        <v>112</v>
      </c>
      <c r="N241" t="s">
        <v>26</v>
      </c>
      <c r="O241" t="s">
        <v>27</v>
      </c>
      <c r="P241" t="s">
        <v>28</v>
      </c>
      <c r="Q241">
        <v>25</v>
      </c>
      <c r="R241" t="s">
        <v>29</v>
      </c>
    </row>
    <row r="242" spans="1:18" x14ac:dyDescent="0.35">
      <c r="A242" s="1">
        <v>45658</v>
      </c>
      <c r="B242" t="s">
        <v>8</v>
      </c>
      <c r="C242">
        <v>64359.9</v>
      </c>
      <c r="D242">
        <v>86.48</v>
      </c>
      <c r="E242">
        <v>5565844</v>
      </c>
      <c r="F242">
        <v>1258148</v>
      </c>
      <c r="G242">
        <v>156000</v>
      </c>
      <c r="H242">
        <v>4151696</v>
      </c>
      <c r="I242">
        <v>64800</v>
      </c>
      <c r="J242">
        <v>0.48060000000000003</v>
      </c>
      <c r="K242">
        <v>18</v>
      </c>
      <c r="L242">
        <v>0.9758</v>
      </c>
      <c r="M242" t="s">
        <v>114</v>
      </c>
      <c r="N242" t="s">
        <v>9</v>
      </c>
      <c r="O242" t="s">
        <v>10</v>
      </c>
      <c r="P242" t="s">
        <v>11</v>
      </c>
      <c r="Q242">
        <v>180</v>
      </c>
      <c r="R242" t="s">
        <v>12</v>
      </c>
    </row>
    <row r="243" spans="1:18" x14ac:dyDescent="0.35">
      <c r="A243" s="1">
        <v>45689</v>
      </c>
      <c r="B243" t="s">
        <v>8</v>
      </c>
      <c r="C243">
        <v>54498.5</v>
      </c>
      <c r="D243">
        <v>82.72</v>
      </c>
      <c r="E243">
        <v>4508114</v>
      </c>
      <c r="F243">
        <v>1172297</v>
      </c>
      <c r="G243">
        <v>156000</v>
      </c>
      <c r="H243">
        <v>3179816</v>
      </c>
      <c r="I243">
        <v>64800</v>
      </c>
      <c r="J243">
        <v>0.45050000000000001</v>
      </c>
      <c r="K243">
        <v>18</v>
      </c>
      <c r="L243">
        <v>0.97319999999999995</v>
      </c>
      <c r="M243" t="s">
        <v>114</v>
      </c>
      <c r="N243" t="s">
        <v>9</v>
      </c>
      <c r="O243" t="s">
        <v>10</v>
      </c>
      <c r="P243" t="s">
        <v>11</v>
      </c>
      <c r="Q243">
        <v>180</v>
      </c>
      <c r="R243" t="s">
        <v>12</v>
      </c>
    </row>
    <row r="244" spans="1:18" x14ac:dyDescent="0.35">
      <c r="A244" s="1">
        <v>45658</v>
      </c>
      <c r="B244" t="s">
        <v>13</v>
      </c>
      <c r="C244">
        <v>3102.5</v>
      </c>
      <c r="D244">
        <v>84.15</v>
      </c>
      <c r="E244">
        <v>261073</v>
      </c>
      <c r="F244">
        <v>107938</v>
      </c>
      <c r="G244">
        <v>43050</v>
      </c>
      <c r="H244">
        <v>110085</v>
      </c>
      <c r="I244">
        <v>8320</v>
      </c>
      <c r="J244">
        <v>5.5599999999999997E-2</v>
      </c>
      <c r="K244">
        <v>3</v>
      </c>
      <c r="L244">
        <v>0.996</v>
      </c>
      <c r="M244" t="s">
        <v>114</v>
      </c>
      <c r="N244" t="s">
        <v>14</v>
      </c>
      <c r="O244" t="s">
        <v>15</v>
      </c>
      <c r="P244" t="s">
        <v>16</v>
      </c>
      <c r="Q244">
        <v>75</v>
      </c>
      <c r="R244" t="s">
        <v>12</v>
      </c>
    </row>
    <row r="245" spans="1:18" x14ac:dyDescent="0.35">
      <c r="A245" s="1">
        <v>45658</v>
      </c>
      <c r="B245" t="s">
        <v>17</v>
      </c>
      <c r="C245">
        <v>1737.4</v>
      </c>
      <c r="D245">
        <v>84.15</v>
      </c>
      <c r="E245">
        <v>146201</v>
      </c>
      <c r="F245">
        <v>64359</v>
      </c>
      <c r="G245">
        <v>30750</v>
      </c>
      <c r="H245">
        <v>51092</v>
      </c>
      <c r="I245">
        <v>8320</v>
      </c>
      <c r="J245">
        <v>5.5599999999999997E-2</v>
      </c>
      <c r="K245">
        <v>3</v>
      </c>
      <c r="L245">
        <v>0.996</v>
      </c>
      <c r="M245" t="s">
        <v>114</v>
      </c>
      <c r="N245" t="s">
        <v>18</v>
      </c>
      <c r="O245" t="s">
        <v>15</v>
      </c>
      <c r="P245" t="s">
        <v>19</v>
      </c>
      <c r="Q245">
        <v>42</v>
      </c>
      <c r="R245" t="s">
        <v>12</v>
      </c>
    </row>
    <row r="246" spans="1:18" x14ac:dyDescent="0.35">
      <c r="A246" s="1">
        <v>45658</v>
      </c>
      <c r="B246" t="s">
        <v>20</v>
      </c>
      <c r="C246">
        <v>11389</v>
      </c>
      <c r="D246">
        <v>42.38</v>
      </c>
      <c r="E246">
        <v>482679</v>
      </c>
      <c r="F246">
        <v>304810</v>
      </c>
      <c r="G246">
        <v>67600</v>
      </c>
      <c r="H246">
        <v>110269</v>
      </c>
      <c r="I246">
        <v>189000</v>
      </c>
      <c r="J246">
        <v>0.25509999999999999</v>
      </c>
      <c r="K246">
        <v>11</v>
      </c>
      <c r="L246">
        <v>0.98519999999999996</v>
      </c>
      <c r="M246" t="s">
        <v>114</v>
      </c>
      <c r="N246" t="s">
        <v>21</v>
      </c>
      <c r="O246" t="s">
        <v>22</v>
      </c>
      <c r="P246" t="s">
        <v>23</v>
      </c>
      <c r="Q246">
        <v>60</v>
      </c>
      <c r="R246" t="s">
        <v>24</v>
      </c>
    </row>
    <row r="247" spans="1:18" x14ac:dyDescent="0.35">
      <c r="A247" s="1">
        <v>45658</v>
      </c>
      <c r="B247" t="s">
        <v>25</v>
      </c>
      <c r="C247">
        <v>1814</v>
      </c>
      <c r="D247">
        <v>118</v>
      </c>
      <c r="E247">
        <v>214054</v>
      </c>
      <c r="F247">
        <v>676776</v>
      </c>
      <c r="G247">
        <v>100700</v>
      </c>
      <c r="H247">
        <v>-563422</v>
      </c>
      <c r="I247">
        <v>598000</v>
      </c>
      <c r="J247">
        <v>0.12189999999999999</v>
      </c>
      <c r="K247">
        <v>28</v>
      </c>
      <c r="L247">
        <v>0.96240000000000003</v>
      </c>
      <c r="M247" t="s">
        <v>114</v>
      </c>
      <c r="N247" t="s">
        <v>26</v>
      </c>
      <c r="O247" t="s">
        <v>27</v>
      </c>
      <c r="P247" t="s">
        <v>28</v>
      </c>
      <c r="Q247">
        <v>25</v>
      </c>
      <c r="R247" t="s">
        <v>29</v>
      </c>
    </row>
    <row r="248" spans="1:18" x14ac:dyDescent="0.35">
      <c r="A248" s="1">
        <v>45689</v>
      </c>
      <c r="B248" t="s">
        <v>13</v>
      </c>
      <c r="C248">
        <v>4049.8</v>
      </c>
      <c r="D248">
        <v>80.19</v>
      </c>
      <c r="E248">
        <v>324757</v>
      </c>
      <c r="F248">
        <v>111021</v>
      </c>
      <c r="G248">
        <v>43050</v>
      </c>
      <c r="H248">
        <v>170687</v>
      </c>
      <c r="I248">
        <v>8320</v>
      </c>
      <c r="J248">
        <v>8.0399999999999999E-2</v>
      </c>
      <c r="K248">
        <v>7</v>
      </c>
      <c r="L248">
        <v>0.98960000000000004</v>
      </c>
      <c r="M248" t="s">
        <v>114</v>
      </c>
      <c r="N248" t="s">
        <v>14</v>
      </c>
      <c r="O248" t="s">
        <v>15</v>
      </c>
      <c r="P248" t="s">
        <v>16</v>
      </c>
      <c r="Q248">
        <v>75</v>
      </c>
      <c r="R248" t="s">
        <v>12</v>
      </c>
    </row>
    <row r="249" spans="1:18" x14ac:dyDescent="0.35">
      <c r="A249" s="1">
        <v>45689</v>
      </c>
      <c r="B249" t="s">
        <v>17</v>
      </c>
      <c r="C249">
        <v>2267.9</v>
      </c>
      <c r="D249">
        <v>80.19</v>
      </c>
      <c r="E249">
        <v>181864</v>
      </c>
      <c r="F249">
        <v>66086</v>
      </c>
      <c r="G249">
        <v>30750</v>
      </c>
      <c r="H249">
        <v>85029</v>
      </c>
      <c r="I249">
        <v>8320</v>
      </c>
      <c r="J249">
        <v>8.0399999999999999E-2</v>
      </c>
      <c r="K249">
        <v>7</v>
      </c>
      <c r="L249">
        <v>0.98960000000000004</v>
      </c>
      <c r="M249" t="s">
        <v>114</v>
      </c>
      <c r="N249" t="s">
        <v>18</v>
      </c>
      <c r="O249" t="s">
        <v>15</v>
      </c>
      <c r="P249" t="s">
        <v>19</v>
      </c>
      <c r="Q249">
        <v>42</v>
      </c>
      <c r="R249" t="s">
        <v>12</v>
      </c>
    </row>
    <row r="250" spans="1:18" x14ac:dyDescent="0.35">
      <c r="A250" s="1">
        <v>45689</v>
      </c>
      <c r="B250" t="s">
        <v>20</v>
      </c>
      <c r="C250">
        <v>11837.8</v>
      </c>
      <c r="D250">
        <v>42.94</v>
      </c>
      <c r="E250">
        <v>508337</v>
      </c>
      <c r="F250">
        <v>306599</v>
      </c>
      <c r="G250">
        <v>67600</v>
      </c>
      <c r="H250">
        <v>134138</v>
      </c>
      <c r="I250">
        <v>189000</v>
      </c>
      <c r="J250">
        <v>0.29360000000000003</v>
      </c>
      <c r="K250">
        <v>11</v>
      </c>
      <c r="L250">
        <v>0.98360000000000003</v>
      </c>
      <c r="M250" t="s">
        <v>114</v>
      </c>
      <c r="N250" t="s">
        <v>21</v>
      </c>
      <c r="O250" t="s">
        <v>22</v>
      </c>
      <c r="P250" t="s">
        <v>23</v>
      </c>
      <c r="Q250">
        <v>60</v>
      </c>
      <c r="R250" t="s">
        <v>24</v>
      </c>
    </row>
    <row r="251" spans="1:18" x14ac:dyDescent="0.35">
      <c r="A251" s="1">
        <v>45689</v>
      </c>
      <c r="B251" t="s">
        <v>25</v>
      </c>
      <c r="C251">
        <v>1805.3</v>
      </c>
      <c r="D251">
        <v>118</v>
      </c>
      <c r="E251">
        <v>213021</v>
      </c>
      <c r="F251">
        <v>675800</v>
      </c>
      <c r="G251">
        <v>100700</v>
      </c>
      <c r="H251">
        <v>-563479</v>
      </c>
      <c r="I251">
        <v>598000</v>
      </c>
      <c r="J251">
        <v>0.1343</v>
      </c>
      <c r="K251">
        <v>28</v>
      </c>
      <c r="L251">
        <v>0.95830000000000004</v>
      </c>
      <c r="M251" t="s">
        <v>114</v>
      </c>
      <c r="N251" t="s">
        <v>26</v>
      </c>
      <c r="O251" t="s">
        <v>27</v>
      </c>
      <c r="P251" t="s">
        <v>28</v>
      </c>
      <c r="Q251">
        <v>25</v>
      </c>
      <c r="R251" t="s">
        <v>29</v>
      </c>
    </row>
    <row r="252" spans="1:18" x14ac:dyDescent="0.35">
      <c r="A252" s="1">
        <v>45717</v>
      </c>
      <c r="B252" t="s">
        <v>8</v>
      </c>
      <c r="C252">
        <v>56636.7</v>
      </c>
      <c r="D252">
        <v>77.08</v>
      </c>
      <c r="E252">
        <v>4365558</v>
      </c>
      <c r="F252">
        <v>1190241</v>
      </c>
      <c r="G252">
        <v>156000</v>
      </c>
      <c r="H252">
        <v>3019317</v>
      </c>
      <c r="I252">
        <v>64800</v>
      </c>
      <c r="J252">
        <v>0.4229</v>
      </c>
      <c r="K252">
        <v>18</v>
      </c>
      <c r="L252">
        <v>0.9758</v>
      </c>
      <c r="M252" t="s">
        <v>114</v>
      </c>
      <c r="N252" t="s">
        <v>9</v>
      </c>
      <c r="O252" t="s">
        <v>10</v>
      </c>
      <c r="P252" t="s">
        <v>11</v>
      </c>
      <c r="Q252">
        <v>180</v>
      </c>
      <c r="R252" t="s">
        <v>12</v>
      </c>
    </row>
    <row r="253" spans="1:18" x14ac:dyDescent="0.35">
      <c r="A253" s="1">
        <v>45717</v>
      </c>
      <c r="B253" t="s">
        <v>13</v>
      </c>
      <c r="C253">
        <v>6769</v>
      </c>
      <c r="D253">
        <v>74.25</v>
      </c>
      <c r="E253">
        <v>502601</v>
      </c>
      <c r="F253">
        <v>119861</v>
      </c>
      <c r="G253">
        <v>43050</v>
      </c>
      <c r="H253">
        <v>339690</v>
      </c>
      <c r="I253">
        <v>31200</v>
      </c>
      <c r="J253">
        <v>0.12130000000000001</v>
      </c>
      <c r="K253">
        <v>3</v>
      </c>
      <c r="L253">
        <v>0.996</v>
      </c>
      <c r="M253" t="s">
        <v>114</v>
      </c>
      <c r="N253" t="s">
        <v>14</v>
      </c>
      <c r="O253" t="s">
        <v>15</v>
      </c>
      <c r="P253" t="s">
        <v>16</v>
      </c>
      <c r="Q253">
        <v>75</v>
      </c>
      <c r="R253" t="s">
        <v>12</v>
      </c>
    </row>
    <row r="254" spans="1:18" x14ac:dyDescent="0.35">
      <c r="A254" s="1">
        <v>45717</v>
      </c>
      <c r="B254" t="s">
        <v>17</v>
      </c>
      <c r="C254">
        <v>3790.7</v>
      </c>
      <c r="D254">
        <v>74.25</v>
      </c>
      <c r="E254">
        <v>281456</v>
      </c>
      <c r="F254">
        <v>71036</v>
      </c>
      <c r="G254">
        <v>30750</v>
      </c>
      <c r="H254">
        <v>179670</v>
      </c>
      <c r="I254">
        <v>31200</v>
      </c>
      <c r="J254">
        <v>0.12130000000000001</v>
      </c>
      <c r="K254">
        <v>3</v>
      </c>
      <c r="L254">
        <v>0.996</v>
      </c>
      <c r="M254" t="s">
        <v>114</v>
      </c>
      <c r="N254" t="s">
        <v>18</v>
      </c>
      <c r="O254" t="s">
        <v>15</v>
      </c>
      <c r="P254" t="s">
        <v>19</v>
      </c>
      <c r="Q254">
        <v>42</v>
      </c>
      <c r="R254" t="s">
        <v>12</v>
      </c>
    </row>
    <row r="255" spans="1:18" x14ac:dyDescent="0.35">
      <c r="A255" s="1">
        <v>45717</v>
      </c>
      <c r="B255" t="s">
        <v>20</v>
      </c>
      <c r="C255">
        <v>10955.8</v>
      </c>
      <c r="D255">
        <v>38.4</v>
      </c>
      <c r="E255">
        <v>420734</v>
      </c>
      <c r="F255">
        <v>300561</v>
      </c>
      <c r="G255">
        <v>67600</v>
      </c>
      <c r="H255">
        <v>52573</v>
      </c>
      <c r="I255">
        <v>189000</v>
      </c>
      <c r="J255">
        <v>0.24540000000000001</v>
      </c>
      <c r="K255">
        <v>23</v>
      </c>
      <c r="L255">
        <v>0.96909999999999996</v>
      </c>
      <c r="M255" t="s">
        <v>114</v>
      </c>
      <c r="N255" t="s">
        <v>21</v>
      </c>
      <c r="O255" t="s">
        <v>22</v>
      </c>
      <c r="P255" t="s">
        <v>23</v>
      </c>
      <c r="Q255">
        <v>60</v>
      </c>
      <c r="R255" t="s">
        <v>24</v>
      </c>
    </row>
    <row r="256" spans="1:18" x14ac:dyDescent="0.35">
      <c r="A256" s="1">
        <v>45717</v>
      </c>
      <c r="B256" t="s">
        <v>25</v>
      </c>
      <c r="C256">
        <v>2183.3000000000002</v>
      </c>
      <c r="D256">
        <v>118</v>
      </c>
      <c r="E256">
        <v>257634</v>
      </c>
      <c r="F256">
        <v>717938</v>
      </c>
      <c r="G256">
        <v>100700</v>
      </c>
      <c r="H256">
        <v>-561004</v>
      </c>
      <c r="I256">
        <v>920000</v>
      </c>
      <c r="J256">
        <v>0.1467</v>
      </c>
      <c r="K256">
        <v>28</v>
      </c>
      <c r="L256">
        <v>0.96240000000000003</v>
      </c>
      <c r="M256" t="s">
        <v>114</v>
      </c>
      <c r="N256" t="s">
        <v>26</v>
      </c>
      <c r="O256" t="s">
        <v>27</v>
      </c>
      <c r="P256" t="s">
        <v>28</v>
      </c>
      <c r="Q256">
        <v>25</v>
      </c>
      <c r="R256" t="s">
        <v>29</v>
      </c>
    </row>
    <row r="257" spans="1:18" x14ac:dyDescent="0.35">
      <c r="A257" s="1">
        <v>45748</v>
      </c>
      <c r="B257" t="s">
        <v>8</v>
      </c>
      <c r="C257">
        <v>46353.3</v>
      </c>
      <c r="D257">
        <v>71.44</v>
      </c>
      <c r="E257">
        <v>3311481</v>
      </c>
      <c r="F257">
        <v>1227988</v>
      </c>
      <c r="G257">
        <v>156000</v>
      </c>
      <c r="H257">
        <v>1927493</v>
      </c>
      <c r="I257">
        <v>270000</v>
      </c>
      <c r="J257">
        <v>0.35770000000000002</v>
      </c>
      <c r="K257">
        <v>32</v>
      </c>
      <c r="L257">
        <v>0.9556</v>
      </c>
      <c r="M257" t="s">
        <v>114</v>
      </c>
      <c r="N257" t="s">
        <v>9</v>
      </c>
      <c r="O257" t="s">
        <v>10</v>
      </c>
      <c r="P257" t="s">
        <v>11</v>
      </c>
      <c r="Q257">
        <v>180</v>
      </c>
      <c r="R257" t="s">
        <v>12</v>
      </c>
    </row>
    <row r="258" spans="1:18" x14ac:dyDescent="0.35">
      <c r="A258" s="1">
        <v>45748</v>
      </c>
      <c r="B258" t="s">
        <v>13</v>
      </c>
      <c r="C258">
        <v>8733.1</v>
      </c>
      <c r="D258">
        <v>68.31</v>
      </c>
      <c r="E258">
        <v>596555</v>
      </c>
      <c r="F258">
        <v>126248</v>
      </c>
      <c r="G258">
        <v>43050</v>
      </c>
      <c r="H258">
        <v>427257</v>
      </c>
      <c r="I258">
        <v>8320</v>
      </c>
      <c r="J258">
        <v>0.16170000000000001</v>
      </c>
      <c r="K258">
        <v>3</v>
      </c>
      <c r="L258">
        <v>0.99580000000000002</v>
      </c>
      <c r="M258" t="s">
        <v>114</v>
      </c>
      <c r="N258" t="s">
        <v>14</v>
      </c>
      <c r="O258" t="s">
        <v>15</v>
      </c>
      <c r="P258" t="s">
        <v>16</v>
      </c>
      <c r="Q258">
        <v>75</v>
      </c>
      <c r="R258" t="s">
        <v>12</v>
      </c>
    </row>
    <row r="259" spans="1:18" x14ac:dyDescent="0.35">
      <c r="A259" s="1">
        <v>45748</v>
      </c>
      <c r="B259" t="s">
        <v>17</v>
      </c>
      <c r="C259">
        <v>4890.5</v>
      </c>
      <c r="D259">
        <v>68.31</v>
      </c>
      <c r="E259">
        <v>334071</v>
      </c>
      <c r="F259">
        <v>74613</v>
      </c>
      <c r="G259">
        <v>30750</v>
      </c>
      <c r="H259">
        <v>228708</v>
      </c>
      <c r="I259">
        <v>8320</v>
      </c>
      <c r="J259">
        <v>0.16170000000000001</v>
      </c>
      <c r="K259">
        <v>3</v>
      </c>
      <c r="L259">
        <v>0.99580000000000002</v>
      </c>
      <c r="M259" t="s">
        <v>114</v>
      </c>
      <c r="N259" t="s">
        <v>18</v>
      </c>
      <c r="O259" t="s">
        <v>15</v>
      </c>
      <c r="P259" t="s">
        <v>19</v>
      </c>
      <c r="Q259">
        <v>42</v>
      </c>
      <c r="R259" t="s">
        <v>12</v>
      </c>
    </row>
    <row r="260" spans="1:18" x14ac:dyDescent="0.35">
      <c r="A260" s="1">
        <v>45748</v>
      </c>
      <c r="B260" t="s">
        <v>20</v>
      </c>
      <c r="C260">
        <v>11403</v>
      </c>
      <c r="D260">
        <v>38.96</v>
      </c>
      <c r="E260">
        <v>444308</v>
      </c>
      <c r="F260">
        <v>302350</v>
      </c>
      <c r="G260">
        <v>67600</v>
      </c>
      <c r="H260">
        <v>74358</v>
      </c>
      <c r="I260">
        <v>189000</v>
      </c>
      <c r="J260">
        <v>0.26400000000000001</v>
      </c>
      <c r="K260">
        <v>11</v>
      </c>
      <c r="L260">
        <v>0.98470000000000002</v>
      </c>
      <c r="M260" t="s">
        <v>114</v>
      </c>
      <c r="N260" t="s">
        <v>21</v>
      </c>
      <c r="O260" t="s">
        <v>22</v>
      </c>
      <c r="P260" t="s">
        <v>23</v>
      </c>
      <c r="Q260">
        <v>60</v>
      </c>
      <c r="R260" t="s">
        <v>24</v>
      </c>
    </row>
    <row r="261" spans="1:18" x14ac:dyDescent="0.35">
      <c r="A261" s="1">
        <v>45748</v>
      </c>
      <c r="B261" t="s">
        <v>25</v>
      </c>
      <c r="C261">
        <v>2291.6</v>
      </c>
      <c r="D261">
        <v>118</v>
      </c>
      <c r="E261">
        <v>270411</v>
      </c>
      <c r="F261">
        <v>730005</v>
      </c>
      <c r="G261">
        <v>100700</v>
      </c>
      <c r="H261">
        <v>-560295</v>
      </c>
      <c r="I261">
        <v>920000</v>
      </c>
      <c r="J261">
        <v>0.15909999999999999</v>
      </c>
      <c r="K261">
        <v>28</v>
      </c>
      <c r="L261">
        <v>0.96109999999999995</v>
      </c>
      <c r="M261" t="s">
        <v>114</v>
      </c>
      <c r="N261" t="s">
        <v>26</v>
      </c>
      <c r="O261" t="s">
        <v>27</v>
      </c>
      <c r="P261" t="s">
        <v>28</v>
      </c>
      <c r="Q261">
        <v>25</v>
      </c>
      <c r="R261" t="s">
        <v>29</v>
      </c>
    </row>
    <row r="262" spans="1:18" x14ac:dyDescent="0.35">
      <c r="A262" s="1">
        <v>45778</v>
      </c>
      <c r="B262" t="s">
        <v>8</v>
      </c>
      <c r="C262">
        <v>42477.5</v>
      </c>
      <c r="D262">
        <v>66.739999999999995</v>
      </c>
      <c r="E262">
        <v>2834951</v>
      </c>
      <c r="F262">
        <v>1065743</v>
      </c>
      <c r="G262">
        <v>156000</v>
      </c>
      <c r="H262">
        <v>1613208</v>
      </c>
      <c r="I262">
        <v>64800</v>
      </c>
      <c r="J262">
        <v>0.31719999999999998</v>
      </c>
      <c r="K262">
        <v>18</v>
      </c>
      <c r="L262">
        <v>0.9758</v>
      </c>
      <c r="M262" t="s">
        <v>114</v>
      </c>
      <c r="N262" t="s">
        <v>9</v>
      </c>
      <c r="O262" t="s">
        <v>10</v>
      </c>
      <c r="P262" t="s">
        <v>11</v>
      </c>
      <c r="Q262">
        <v>180</v>
      </c>
      <c r="R262" t="s">
        <v>12</v>
      </c>
    </row>
    <row r="263" spans="1:18" x14ac:dyDescent="0.35">
      <c r="A263" s="1">
        <v>45778</v>
      </c>
      <c r="B263" t="s">
        <v>13</v>
      </c>
      <c r="C263">
        <v>11281.7</v>
      </c>
      <c r="D263">
        <v>58.41</v>
      </c>
      <c r="E263">
        <v>658966</v>
      </c>
      <c r="F263">
        <v>134534</v>
      </c>
      <c r="G263">
        <v>43050</v>
      </c>
      <c r="H263">
        <v>481381</v>
      </c>
      <c r="I263">
        <v>8320</v>
      </c>
      <c r="J263">
        <v>0.20219999999999999</v>
      </c>
      <c r="K263">
        <v>3</v>
      </c>
      <c r="L263">
        <v>0.996</v>
      </c>
      <c r="M263" t="s">
        <v>114</v>
      </c>
      <c r="N263" t="s">
        <v>14</v>
      </c>
      <c r="O263" t="s">
        <v>15</v>
      </c>
      <c r="P263" t="s">
        <v>16</v>
      </c>
      <c r="Q263">
        <v>75</v>
      </c>
      <c r="R263" t="s">
        <v>12</v>
      </c>
    </row>
    <row r="264" spans="1:18" x14ac:dyDescent="0.35">
      <c r="A264" s="1">
        <v>45778</v>
      </c>
      <c r="B264" t="s">
        <v>17</v>
      </c>
      <c r="C264">
        <v>6317.8</v>
      </c>
      <c r="D264">
        <v>58.41</v>
      </c>
      <c r="E264">
        <v>369021</v>
      </c>
      <c r="F264">
        <v>79253</v>
      </c>
      <c r="G264">
        <v>30750</v>
      </c>
      <c r="H264">
        <v>259017</v>
      </c>
      <c r="I264">
        <v>8320</v>
      </c>
      <c r="J264">
        <v>0.20219999999999999</v>
      </c>
      <c r="K264">
        <v>3</v>
      </c>
      <c r="L264">
        <v>0.996</v>
      </c>
      <c r="M264" t="s">
        <v>114</v>
      </c>
      <c r="N264" t="s">
        <v>18</v>
      </c>
      <c r="O264" t="s">
        <v>15</v>
      </c>
      <c r="P264" t="s">
        <v>19</v>
      </c>
      <c r="Q264">
        <v>42</v>
      </c>
      <c r="R264" t="s">
        <v>12</v>
      </c>
    </row>
    <row r="265" spans="1:18" x14ac:dyDescent="0.35">
      <c r="A265" s="1">
        <v>45778</v>
      </c>
      <c r="B265" t="s">
        <v>20</v>
      </c>
      <c r="C265">
        <v>11858</v>
      </c>
      <c r="D265">
        <v>39.520000000000003</v>
      </c>
      <c r="E265">
        <v>468687</v>
      </c>
      <c r="F265">
        <v>304139</v>
      </c>
      <c r="G265">
        <v>67600</v>
      </c>
      <c r="H265">
        <v>96948</v>
      </c>
      <c r="I265">
        <v>189000</v>
      </c>
      <c r="J265">
        <v>0.2656</v>
      </c>
      <c r="K265">
        <v>11</v>
      </c>
      <c r="L265">
        <v>0.98519999999999996</v>
      </c>
      <c r="M265" t="s">
        <v>114</v>
      </c>
      <c r="N265" t="s">
        <v>21</v>
      </c>
      <c r="O265" t="s">
        <v>22</v>
      </c>
      <c r="P265" t="s">
        <v>23</v>
      </c>
      <c r="Q265">
        <v>60</v>
      </c>
      <c r="R265" t="s">
        <v>24</v>
      </c>
    </row>
    <row r="266" spans="1:18" x14ac:dyDescent="0.35">
      <c r="A266" s="1">
        <v>45778</v>
      </c>
      <c r="B266" t="s">
        <v>25</v>
      </c>
      <c r="C266">
        <v>2552.6999999999998</v>
      </c>
      <c r="D266">
        <v>118</v>
      </c>
      <c r="E266">
        <v>301214</v>
      </c>
      <c r="F266">
        <v>759100</v>
      </c>
      <c r="G266">
        <v>100700</v>
      </c>
      <c r="H266">
        <v>-558585</v>
      </c>
      <c r="I266">
        <v>920000</v>
      </c>
      <c r="J266">
        <v>0.1716</v>
      </c>
      <c r="K266">
        <v>51</v>
      </c>
      <c r="L266">
        <v>0.93149999999999999</v>
      </c>
      <c r="M266" t="s">
        <v>114</v>
      </c>
      <c r="N266" t="s">
        <v>26</v>
      </c>
      <c r="O266" t="s">
        <v>27</v>
      </c>
      <c r="P266" t="s">
        <v>28</v>
      </c>
      <c r="Q266">
        <v>25</v>
      </c>
      <c r="R266" t="s">
        <v>29</v>
      </c>
    </row>
    <row r="267" spans="1:18" x14ac:dyDescent="0.35">
      <c r="A267" s="1">
        <v>45809</v>
      </c>
      <c r="B267" t="s">
        <v>8</v>
      </c>
      <c r="C267">
        <v>37339.4</v>
      </c>
      <c r="D267">
        <v>62.98</v>
      </c>
      <c r="E267">
        <v>2351634</v>
      </c>
      <c r="F267">
        <v>1020747</v>
      </c>
      <c r="G267">
        <v>156000</v>
      </c>
      <c r="H267">
        <v>1174887</v>
      </c>
      <c r="I267">
        <v>64800</v>
      </c>
      <c r="J267">
        <v>0.28810000000000002</v>
      </c>
      <c r="K267">
        <v>18</v>
      </c>
      <c r="L267">
        <v>0.97499999999999998</v>
      </c>
      <c r="M267" t="s">
        <v>114</v>
      </c>
      <c r="N267" t="s">
        <v>9</v>
      </c>
      <c r="O267" t="s">
        <v>10</v>
      </c>
      <c r="P267" t="s">
        <v>11</v>
      </c>
      <c r="Q267">
        <v>180</v>
      </c>
      <c r="R267" t="s">
        <v>12</v>
      </c>
    </row>
    <row r="268" spans="1:18" x14ac:dyDescent="0.35">
      <c r="A268" s="1">
        <v>45809</v>
      </c>
      <c r="B268" t="s">
        <v>13</v>
      </c>
      <c r="C268">
        <v>12280.9</v>
      </c>
      <c r="D268">
        <v>54.45</v>
      </c>
      <c r="E268">
        <v>668693</v>
      </c>
      <c r="F268">
        <v>137785</v>
      </c>
      <c r="G268">
        <v>43050</v>
      </c>
      <c r="H268">
        <v>487858</v>
      </c>
      <c r="I268">
        <v>8320</v>
      </c>
      <c r="J268">
        <v>0.22739999999999999</v>
      </c>
      <c r="K268">
        <v>3</v>
      </c>
      <c r="L268">
        <v>0.99580000000000002</v>
      </c>
      <c r="M268" t="s">
        <v>114</v>
      </c>
      <c r="N268" t="s">
        <v>14</v>
      </c>
      <c r="O268" t="s">
        <v>15</v>
      </c>
      <c r="P268" t="s">
        <v>16</v>
      </c>
      <c r="Q268">
        <v>75</v>
      </c>
      <c r="R268" t="s">
        <v>12</v>
      </c>
    </row>
    <row r="269" spans="1:18" x14ac:dyDescent="0.35">
      <c r="A269" s="1">
        <v>45809</v>
      </c>
      <c r="B269" t="s">
        <v>17</v>
      </c>
      <c r="C269">
        <v>6877.3</v>
      </c>
      <c r="D269">
        <v>54.45</v>
      </c>
      <c r="E269">
        <v>374468</v>
      </c>
      <c r="F269">
        <v>81074</v>
      </c>
      <c r="G269">
        <v>30750</v>
      </c>
      <c r="H269">
        <v>262644</v>
      </c>
      <c r="I269">
        <v>8320</v>
      </c>
      <c r="J269">
        <v>0.22739999999999999</v>
      </c>
      <c r="K269">
        <v>3</v>
      </c>
      <c r="L269">
        <v>0.99580000000000002</v>
      </c>
      <c r="M269" t="s">
        <v>114</v>
      </c>
      <c r="N269" t="s">
        <v>18</v>
      </c>
      <c r="O269" t="s">
        <v>15</v>
      </c>
      <c r="P269" t="s">
        <v>19</v>
      </c>
      <c r="Q269">
        <v>42</v>
      </c>
      <c r="R269" t="s">
        <v>12</v>
      </c>
    </row>
    <row r="270" spans="1:18" x14ac:dyDescent="0.35">
      <c r="A270" s="1">
        <v>45809</v>
      </c>
      <c r="B270" t="s">
        <v>20</v>
      </c>
      <c r="C270">
        <v>12320.6</v>
      </c>
      <c r="D270">
        <v>40.090000000000003</v>
      </c>
      <c r="E270">
        <v>493885</v>
      </c>
      <c r="F270">
        <v>305928</v>
      </c>
      <c r="G270">
        <v>67600</v>
      </c>
      <c r="H270">
        <v>120357</v>
      </c>
      <c r="I270">
        <v>189000</v>
      </c>
      <c r="J270">
        <v>0.28520000000000001</v>
      </c>
      <c r="K270">
        <v>11</v>
      </c>
      <c r="L270">
        <v>0.98470000000000002</v>
      </c>
      <c r="M270" t="s">
        <v>114</v>
      </c>
      <c r="N270" t="s">
        <v>21</v>
      </c>
      <c r="O270" t="s">
        <v>22</v>
      </c>
      <c r="P270" t="s">
        <v>23</v>
      </c>
      <c r="Q270">
        <v>60</v>
      </c>
      <c r="R270" t="s">
        <v>24</v>
      </c>
    </row>
    <row r="271" spans="1:18" x14ac:dyDescent="0.35">
      <c r="A271" s="1">
        <v>45809</v>
      </c>
      <c r="B271" t="s">
        <v>25</v>
      </c>
      <c r="C271">
        <v>2649</v>
      </c>
      <c r="D271">
        <v>118</v>
      </c>
      <c r="E271">
        <v>312585</v>
      </c>
      <c r="F271">
        <v>769839</v>
      </c>
      <c r="G271">
        <v>100700</v>
      </c>
      <c r="H271">
        <v>-557954</v>
      </c>
      <c r="I271">
        <v>598000</v>
      </c>
      <c r="J271">
        <v>0.184</v>
      </c>
      <c r="K271">
        <v>28</v>
      </c>
      <c r="L271">
        <v>0.96109999999999995</v>
      </c>
      <c r="M271" t="s">
        <v>114</v>
      </c>
      <c r="N271" t="s">
        <v>26</v>
      </c>
      <c r="O271" t="s">
        <v>27</v>
      </c>
      <c r="P271" t="s">
        <v>28</v>
      </c>
      <c r="Q271">
        <v>25</v>
      </c>
      <c r="R271" t="s">
        <v>29</v>
      </c>
    </row>
    <row r="272" spans="1:18" x14ac:dyDescent="0.35">
      <c r="A272" s="1">
        <v>45839</v>
      </c>
      <c r="B272" t="s">
        <v>8</v>
      </c>
      <c r="C272">
        <v>37328.699999999997</v>
      </c>
      <c r="D272">
        <v>61.1</v>
      </c>
      <c r="E272">
        <v>2280786</v>
      </c>
      <c r="F272">
        <v>1020471</v>
      </c>
      <c r="G272">
        <v>156000</v>
      </c>
      <c r="H272">
        <v>1104315</v>
      </c>
      <c r="I272">
        <v>64800</v>
      </c>
      <c r="J272">
        <v>0.2787</v>
      </c>
      <c r="K272">
        <v>18</v>
      </c>
      <c r="L272">
        <v>0.9758</v>
      </c>
      <c r="M272" t="s">
        <v>114</v>
      </c>
      <c r="N272" t="s">
        <v>9</v>
      </c>
      <c r="O272" t="s">
        <v>10</v>
      </c>
      <c r="P272" t="s">
        <v>11</v>
      </c>
      <c r="Q272">
        <v>180</v>
      </c>
      <c r="R272" t="s">
        <v>12</v>
      </c>
    </row>
    <row r="273" spans="1:18" x14ac:dyDescent="0.35">
      <c r="A273" s="1">
        <v>45839</v>
      </c>
      <c r="B273" t="s">
        <v>13</v>
      </c>
      <c r="C273">
        <v>12974</v>
      </c>
      <c r="D273">
        <v>52.47</v>
      </c>
      <c r="E273">
        <v>680745</v>
      </c>
      <c r="F273">
        <v>140037</v>
      </c>
      <c r="G273">
        <v>43050</v>
      </c>
      <c r="H273">
        <v>497658</v>
      </c>
      <c r="I273">
        <v>8320</v>
      </c>
      <c r="J273">
        <v>0.23250000000000001</v>
      </c>
      <c r="K273">
        <v>3</v>
      </c>
      <c r="L273">
        <v>0.996</v>
      </c>
      <c r="M273" t="s">
        <v>114</v>
      </c>
      <c r="N273" t="s">
        <v>14</v>
      </c>
      <c r="O273" t="s">
        <v>15</v>
      </c>
      <c r="P273" t="s">
        <v>16</v>
      </c>
      <c r="Q273">
        <v>75</v>
      </c>
      <c r="R273" t="s">
        <v>12</v>
      </c>
    </row>
    <row r="274" spans="1:18" x14ac:dyDescent="0.35">
      <c r="A274" s="1">
        <v>45839</v>
      </c>
      <c r="B274" t="s">
        <v>17</v>
      </c>
      <c r="C274">
        <v>7265.4</v>
      </c>
      <c r="D274">
        <v>52.47</v>
      </c>
      <c r="E274">
        <v>381217</v>
      </c>
      <c r="F274">
        <v>82335</v>
      </c>
      <c r="G274">
        <v>30750</v>
      </c>
      <c r="H274">
        <v>268132</v>
      </c>
      <c r="I274">
        <v>8320</v>
      </c>
      <c r="J274">
        <v>0.23250000000000001</v>
      </c>
      <c r="K274">
        <v>3</v>
      </c>
      <c r="L274">
        <v>0.996</v>
      </c>
      <c r="M274" t="s">
        <v>114</v>
      </c>
      <c r="N274" t="s">
        <v>18</v>
      </c>
      <c r="O274" t="s">
        <v>15</v>
      </c>
      <c r="P274" t="s">
        <v>19</v>
      </c>
      <c r="Q274">
        <v>42</v>
      </c>
      <c r="R274" t="s">
        <v>12</v>
      </c>
    </row>
    <row r="275" spans="1:18" x14ac:dyDescent="0.35">
      <c r="A275" s="1">
        <v>45839</v>
      </c>
      <c r="B275" t="s">
        <v>20</v>
      </c>
      <c r="C275">
        <v>12791</v>
      </c>
      <c r="D275">
        <v>40.65</v>
      </c>
      <c r="E275">
        <v>519914</v>
      </c>
      <c r="F275">
        <v>307717</v>
      </c>
      <c r="G275">
        <v>67600</v>
      </c>
      <c r="H275">
        <v>144598</v>
      </c>
      <c r="I275">
        <v>189000</v>
      </c>
      <c r="J275">
        <v>0.28649999999999998</v>
      </c>
      <c r="K275">
        <v>11</v>
      </c>
      <c r="L275">
        <v>0.98519999999999996</v>
      </c>
      <c r="M275" t="s">
        <v>114</v>
      </c>
      <c r="N275" t="s">
        <v>21</v>
      </c>
      <c r="O275" t="s">
        <v>22</v>
      </c>
      <c r="P275" t="s">
        <v>23</v>
      </c>
      <c r="Q275">
        <v>60</v>
      </c>
      <c r="R275" t="s">
        <v>24</v>
      </c>
    </row>
    <row r="276" spans="1:18" x14ac:dyDescent="0.35">
      <c r="A276" s="1">
        <v>45839</v>
      </c>
      <c r="B276" t="s">
        <v>25</v>
      </c>
      <c r="C276">
        <v>2922</v>
      </c>
      <c r="D276">
        <v>118</v>
      </c>
      <c r="E276">
        <v>344794</v>
      </c>
      <c r="F276">
        <v>800261</v>
      </c>
      <c r="G276">
        <v>100700</v>
      </c>
      <c r="H276">
        <v>-556167</v>
      </c>
      <c r="I276">
        <v>598000</v>
      </c>
      <c r="J276">
        <v>0.19639999999999999</v>
      </c>
      <c r="K276">
        <v>28</v>
      </c>
      <c r="L276">
        <v>0.96240000000000003</v>
      </c>
      <c r="M276" t="s">
        <v>114</v>
      </c>
      <c r="N276" t="s">
        <v>26</v>
      </c>
      <c r="O276" t="s">
        <v>27</v>
      </c>
      <c r="P276" t="s">
        <v>28</v>
      </c>
      <c r="Q276">
        <v>25</v>
      </c>
      <c r="R276" t="s">
        <v>29</v>
      </c>
    </row>
    <row r="277" spans="1:18" x14ac:dyDescent="0.35">
      <c r="A277" s="1">
        <v>45870</v>
      </c>
      <c r="B277" t="s">
        <v>8</v>
      </c>
      <c r="C277">
        <v>39903.1</v>
      </c>
      <c r="D277">
        <v>63.92</v>
      </c>
      <c r="E277">
        <v>2550609</v>
      </c>
      <c r="F277">
        <v>1043107</v>
      </c>
      <c r="G277">
        <v>156000</v>
      </c>
      <c r="H277">
        <v>1351502</v>
      </c>
      <c r="I277">
        <v>64800</v>
      </c>
      <c r="J277">
        <v>0.29799999999999999</v>
      </c>
      <c r="K277">
        <v>18</v>
      </c>
      <c r="L277">
        <v>0.9758</v>
      </c>
      <c r="M277" t="s">
        <v>114</v>
      </c>
      <c r="N277" t="s">
        <v>9</v>
      </c>
      <c r="O277" t="s">
        <v>10</v>
      </c>
      <c r="P277" t="s">
        <v>11</v>
      </c>
      <c r="Q277">
        <v>180</v>
      </c>
      <c r="R277" t="s">
        <v>12</v>
      </c>
    </row>
    <row r="278" spans="1:18" x14ac:dyDescent="0.35">
      <c r="A278" s="1">
        <v>45870</v>
      </c>
      <c r="B278" t="s">
        <v>13</v>
      </c>
      <c r="C278">
        <v>11563.8</v>
      </c>
      <c r="D278">
        <v>55.44</v>
      </c>
      <c r="E278">
        <v>641095</v>
      </c>
      <c r="F278">
        <v>135452</v>
      </c>
      <c r="G278">
        <v>43050</v>
      </c>
      <c r="H278">
        <v>462594</v>
      </c>
      <c r="I278">
        <v>8320</v>
      </c>
      <c r="J278">
        <v>0.2072</v>
      </c>
      <c r="K278">
        <v>3</v>
      </c>
      <c r="L278">
        <v>0.996</v>
      </c>
      <c r="M278" t="s">
        <v>114</v>
      </c>
      <c r="N278" t="s">
        <v>14</v>
      </c>
      <c r="O278" t="s">
        <v>15</v>
      </c>
      <c r="P278" t="s">
        <v>16</v>
      </c>
      <c r="Q278">
        <v>75</v>
      </c>
      <c r="R278" t="s">
        <v>12</v>
      </c>
    </row>
    <row r="279" spans="1:18" x14ac:dyDescent="0.35">
      <c r="A279" s="1">
        <v>45870</v>
      </c>
      <c r="B279" t="s">
        <v>17</v>
      </c>
      <c r="C279">
        <v>6475.7</v>
      </c>
      <c r="D279">
        <v>55.44</v>
      </c>
      <c r="E279">
        <v>359013</v>
      </c>
      <c r="F279">
        <v>79767</v>
      </c>
      <c r="G279">
        <v>30750</v>
      </c>
      <c r="H279">
        <v>248496</v>
      </c>
      <c r="I279">
        <v>8320</v>
      </c>
      <c r="J279">
        <v>0.2072</v>
      </c>
      <c r="K279">
        <v>3</v>
      </c>
      <c r="L279">
        <v>0.996</v>
      </c>
      <c r="M279" t="s">
        <v>114</v>
      </c>
      <c r="N279" t="s">
        <v>18</v>
      </c>
      <c r="O279" t="s">
        <v>15</v>
      </c>
      <c r="P279" t="s">
        <v>19</v>
      </c>
      <c r="Q279">
        <v>42</v>
      </c>
      <c r="R279" t="s">
        <v>12</v>
      </c>
    </row>
    <row r="280" spans="1:18" x14ac:dyDescent="0.35">
      <c r="A280" s="1">
        <v>45870</v>
      </c>
      <c r="B280" t="s">
        <v>20</v>
      </c>
      <c r="C280">
        <v>13269</v>
      </c>
      <c r="D280">
        <v>41.21</v>
      </c>
      <c r="E280">
        <v>546787</v>
      </c>
      <c r="F280">
        <v>309505</v>
      </c>
      <c r="G280">
        <v>67600</v>
      </c>
      <c r="H280">
        <v>169682</v>
      </c>
      <c r="I280">
        <v>189000</v>
      </c>
      <c r="J280">
        <v>0.29720000000000002</v>
      </c>
      <c r="K280">
        <v>11</v>
      </c>
      <c r="L280">
        <v>0.98519999999999996</v>
      </c>
      <c r="M280" t="s">
        <v>114</v>
      </c>
      <c r="N280" t="s">
        <v>21</v>
      </c>
      <c r="O280" t="s">
        <v>22</v>
      </c>
      <c r="P280" t="s">
        <v>23</v>
      </c>
      <c r="Q280">
        <v>60</v>
      </c>
      <c r="R280" t="s">
        <v>24</v>
      </c>
    </row>
    <row r="281" spans="1:18" x14ac:dyDescent="0.35">
      <c r="A281" s="1">
        <v>45870</v>
      </c>
      <c r="B281" t="s">
        <v>25</v>
      </c>
      <c r="C281">
        <v>3106.6</v>
      </c>
      <c r="D281">
        <v>118</v>
      </c>
      <c r="E281">
        <v>366584</v>
      </c>
      <c r="F281">
        <v>820842</v>
      </c>
      <c r="G281">
        <v>100700</v>
      </c>
      <c r="H281">
        <v>-554958</v>
      </c>
      <c r="I281">
        <v>598000</v>
      </c>
      <c r="J281">
        <v>0.20880000000000001</v>
      </c>
      <c r="K281">
        <v>28</v>
      </c>
      <c r="L281">
        <v>0.96240000000000003</v>
      </c>
      <c r="M281" t="s">
        <v>114</v>
      </c>
      <c r="N281" t="s">
        <v>26</v>
      </c>
      <c r="O281" t="s">
        <v>27</v>
      </c>
      <c r="P281" t="s">
        <v>28</v>
      </c>
      <c r="Q281">
        <v>25</v>
      </c>
      <c r="R281" t="s">
        <v>29</v>
      </c>
    </row>
    <row r="282" spans="1:18" x14ac:dyDescent="0.35">
      <c r="A282" s="1">
        <v>45901</v>
      </c>
      <c r="B282" t="s">
        <v>8</v>
      </c>
      <c r="C282">
        <v>44807.3</v>
      </c>
      <c r="D282">
        <v>69.56</v>
      </c>
      <c r="E282">
        <v>3116793</v>
      </c>
      <c r="F282">
        <v>1086447</v>
      </c>
      <c r="G282">
        <v>156000</v>
      </c>
      <c r="H282">
        <v>1874346</v>
      </c>
      <c r="I282">
        <v>64800</v>
      </c>
      <c r="J282">
        <v>0.34570000000000001</v>
      </c>
      <c r="K282">
        <v>18</v>
      </c>
      <c r="L282">
        <v>0.97499999999999998</v>
      </c>
      <c r="M282" t="s">
        <v>114</v>
      </c>
      <c r="N282" t="s">
        <v>9</v>
      </c>
      <c r="O282" t="s">
        <v>10</v>
      </c>
      <c r="P282" t="s">
        <v>11</v>
      </c>
      <c r="Q282">
        <v>180</v>
      </c>
      <c r="R282" t="s">
        <v>12</v>
      </c>
    </row>
    <row r="283" spans="1:18" x14ac:dyDescent="0.35">
      <c r="A283" s="1">
        <v>45901</v>
      </c>
      <c r="B283" t="s">
        <v>13</v>
      </c>
      <c r="C283">
        <v>8460.2000000000007</v>
      </c>
      <c r="D283">
        <v>66.33</v>
      </c>
      <c r="E283">
        <v>561162</v>
      </c>
      <c r="F283">
        <v>125361</v>
      </c>
      <c r="G283">
        <v>43050</v>
      </c>
      <c r="H283">
        <v>392751</v>
      </c>
      <c r="I283">
        <v>31200</v>
      </c>
      <c r="J283">
        <v>0.15670000000000001</v>
      </c>
      <c r="K283">
        <v>3</v>
      </c>
      <c r="L283">
        <v>0.99580000000000002</v>
      </c>
      <c r="M283" t="s">
        <v>114</v>
      </c>
      <c r="N283" t="s">
        <v>14</v>
      </c>
      <c r="O283" t="s">
        <v>15</v>
      </c>
      <c r="P283" t="s">
        <v>16</v>
      </c>
      <c r="Q283">
        <v>75</v>
      </c>
      <c r="R283" t="s">
        <v>12</v>
      </c>
    </row>
    <row r="284" spans="1:18" x14ac:dyDescent="0.35">
      <c r="A284" s="1">
        <v>45901</v>
      </c>
      <c r="B284" t="s">
        <v>17</v>
      </c>
      <c r="C284">
        <v>4737.7</v>
      </c>
      <c r="D284">
        <v>66.33</v>
      </c>
      <c r="E284">
        <v>314251</v>
      </c>
      <c r="F284">
        <v>74116</v>
      </c>
      <c r="G284">
        <v>30750</v>
      </c>
      <c r="H284">
        <v>209385</v>
      </c>
      <c r="I284">
        <v>31200</v>
      </c>
      <c r="J284">
        <v>0.15670000000000001</v>
      </c>
      <c r="K284">
        <v>3</v>
      </c>
      <c r="L284">
        <v>0.99580000000000002</v>
      </c>
      <c r="M284" t="s">
        <v>114</v>
      </c>
      <c r="N284" t="s">
        <v>18</v>
      </c>
      <c r="O284" t="s">
        <v>15</v>
      </c>
      <c r="P284" t="s">
        <v>19</v>
      </c>
      <c r="Q284">
        <v>42</v>
      </c>
      <c r="R284" t="s">
        <v>12</v>
      </c>
    </row>
    <row r="285" spans="1:18" x14ac:dyDescent="0.35">
      <c r="A285" s="1">
        <v>45901</v>
      </c>
      <c r="B285" t="s">
        <v>20</v>
      </c>
      <c r="C285">
        <v>13754.6</v>
      </c>
      <c r="D285">
        <v>41.77</v>
      </c>
      <c r="E285">
        <v>574518</v>
      </c>
      <c r="F285">
        <v>311294</v>
      </c>
      <c r="G285">
        <v>67600</v>
      </c>
      <c r="H285">
        <v>195623</v>
      </c>
      <c r="I285">
        <v>75600</v>
      </c>
      <c r="J285">
        <v>0.31840000000000002</v>
      </c>
      <c r="K285">
        <v>23</v>
      </c>
      <c r="L285">
        <v>0.96809999999999996</v>
      </c>
      <c r="M285" t="s">
        <v>114</v>
      </c>
      <c r="N285" t="s">
        <v>21</v>
      </c>
      <c r="O285" t="s">
        <v>22</v>
      </c>
      <c r="P285" t="s">
        <v>23</v>
      </c>
      <c r="Q285">
        <v>60</v>
      </c>
      <c r="R285" t="s">
        <v>24</v>
      </c>
    </row>
    <row r="286" spans="1:18" x14ac:dyDescent="0.35">
      <c r="A286" s="1">
        <v>45901</v>
      </c>
      <c r="B286" t="s">
        <v>25</v>
      </c>
      <c r="C286">
        <v>3185.1</v>
      </c>
      <c r="D286">
        <v>118</v>
      </c>
      <c r="E286">
        <v>375846</v>
      </c>
      <c r="F286">
        <v>829590</v>
      </c>
      <c r="G286">
        <v>100700</v>
      </c>
      <c r="H286">
        <v>-554444</v>
      </c>
      <c r="I286">
        <v>598000</v>
      </c>
      <c r="J286">
        <v>0.22120000000000001</v>
      </c>
      <c r="K286">
        <v>28</v>
      </c>
      <c r="L286">
        <v>0.96109999999999995</v>
      </c>
      <c r="M286" t="s">
        <v>114</v>
      </c>
      <c r="N286" t="s">
        <v>26</v>
      </c>
      <c r="O286" t="s">
        <v>27</v>
      </c>
      <c r="P286" t="s">
        <v>28</v>
      </c>
      <c r="Q286">
        <v>25</v>
      </c>
      <c r="R286" t="s">
        <v>29</v>
      </c>
    </row>
    <row r="287" spans="1:18" x14ac:dyDescent="0.35">
      <c r="A287" s="1">
        <v>45931</v>
      </c>
      <c r="B287" t="s">
        <v>8</v>
      </c>
      <c r="C287">
        <v>53019.8</v>
      </c>
      <c r="D287">
        <v>77.08</v>
      </c>
      <c r="E287">
        <v>4086766</v>
      </c>
      <c r="F287">
        <v>1286387</v>
      </c>
      <c r="G287">
        <v>156000</v>
      </c>
      <c r="H287">
        <v>2644378</v>
      </c>
      <c r="I287">
        <v>270000</v>
      </c>
      <c r="J287">
        <v>0.39589999999999997</v>
      </c>
      <c r="K287">
        <v>32</v>
      </c>
      <c r="L287">
        <v>0.95699999999999996</v>
      </c>
      <c r="M287" t="s">
        <v>114</v>
      </c>
      <c r="N287" t="s">
        <v>9</v>
      </c>
      <c r="O287" t="s">
        <v>10</v>
      </c>
      <c r="P287" t="s">
        <v>11</v>
      </c>
      <c r="Q287">
        <v>180</v>
      </c>
      <c r="R287" t="s">
        <v>12</v>
      </c>
    </row>
    <row r="288" spans="1:18" x14ac:dyDescent="0.35">
      <c r="A288" s="1">
        <v>45931</v>
      </c>
      <c r="B288" t="s">
        <v>13</v>
      </c>
      <c r="C288">
        <v>5922.9</v>
      </c>
      <c r="D288">
        <v>74.25</v>
      </c>
      <c r="E288">
        <v>439776</v>
      </c>
      <c r="F288">
        <v>117109</v>
      </c>
      <c r="G288">
        <v>43050</v>
      </c>
      <c r="H288">
        <v>279616</v>
      </c>
      <c r="I288">
        <v>8320</v>
      </c>
      <c r="J288">
        <v>0.1061</v>
      </c>
      <c r="K288">
        <v>3</v>
      </c>
      <c r="L288">
        <v>0.996</v>
      </c>
      <c r="M288" t="s">
        <v>114</v>
      </c>
      <c r="N288" t="s">
        <v>14</v>
      </c>
      <c r="O288" t="s">
        <v>15</v>
      </c>
      <c r="P288" t="s">
        <v>16</v>
      </c>
      <c r="Q288">
        <v>75</v>
      </c>
      <c r="R288" t="s">
        <v>12</v>
      </c>
    </row>
    <row r="289" spans="1:18" x14ac:dyDescent="0.35">
      <c r="A289" s="1">
        <v>45931</v>
      </c>
      <c r="B289" t="s">
        <v>17</v>
      </c>
      <c r="C289">
        <v>3316.8</v>
      </c>
      <c r="D289">
        <v>74.25</v>
      </c>
      <c r="E289">
        <v>246274</v>
      </c>
      <c r="F289">
        <v>69495</v>
      </c>
      <c r="G289">
        <v>30750</v>
      </c>
      <c r="H289">
        <v>146029</v>
      </c>
      <c r="I289">
        <v>8320</v>
      </c>
      <c r="J289">
        <v>0.1061</v>
      </c>
      <c r="K289">
        <v>3</v>
      </c>
      <c r="L289">
        <v>0.996</v>
      </c>
      <c r="M289" t="s">
        <v>114</v>
      </c>
      <c r="N289" t="s">
        <v>18</v>
      </c>
      <c r="O289" t="s">
        <v>15</v>
      </c>
      <c r="P289" t="s">
        <v>19</v>
      </c>
      <c r="Q289">
        <v>42</v>
      </c>
      <c r="R289" t="s">
        <v>12</v>
      </c>
    </row>
    <row r="290" spans="1:18" x14ac:dyDescent="0.35">
      <c r="A290" s="1">
        <v>45931</v>
      </c>
      <c r="B290" t="s">
        <v>20</v>
      </c>
      <c r="C290">
        <v>14248</v>
      </c>
      <c r="D290">
        <v>42.33</v>
      </c>
      <c r="E290">
        <v>603118</v>
      </c>
      <c r="F290">
        <v>313083</v>
      </c>
      <c r="G290">
        <v>67600</v>
      </c>
      <c r="H290">
        <v>222435</v>
      </c>
      <c r="I290">
        <v>75600</v>
      </c>
      <c r="J290">
        <v>0.31919999999999998</v>
      </c>
      <c r="K290">
        <v>11</v>
      </c>
      <c r="L290">
        <v>0.98519999999999996</v>
      </c>
      <c r="M290" t="s">
        <v>114</v>
      </c>
      <c r="N290" t="s">
        <v>21</v>
      </c>
      <c r="O290" t="s">
        <v>22</v>
      </c>
      <c r="P290" t="s">
        <v>23</v>
      </c>
      <c r="Q290">
        <v>60</v>
      </c>
      <c r="R290" t="s">
        <v>24</v>
      </c>
    </row>
    <row r="291" spans="1:18" x14ac:dyDescent="0.35">
      <c r="A291" s="1">
        <v>45931</v>
      </c>
      <c r="B291" t="s">
        <v>25</v>
      </c>
      <c r="C291">
        <v>3476</v>
      </c>
      <c r="D291">
        <v>118</v>
      </c>
      <c r="E291">
        <v>410164</v>
      </c>
      <c r="F291">
        <v>862004</v>
      </c>
      <c r="G291">
        <v>100700</v>
      </c>
      <c r="H291">
        <v>-552540</v>
      </c>
      <c r="I291">
        <v>598000</v>
      </c>
      <c r="J291">
        <v>0.2336</v>
      </c>
      <c r="K291">
        <v>28</v>
      </c>
      <c r="L291">
        <v>0.96240000000000003</v>
      </c>
      <c r="M291" t="s">
        <v>114</v>
      </c>
      <c r="N291" t="s">
        <v>26</v>
      </c>
      <c r="O291" t="s">
        <v>27</v>
      </c>
      <c r="P291" t="s">
        <v>28</v>
      </c>
      <c r="Q291">
        <v>25</v>
      </c>
      <c r="R291" t="s">
        <v>29</v>
      </c>
    </row>
    <row r="292" spans="1:18" x14ac:dyDescent="0.35">
      <c r="A292" s="1">
        <v>45962</v>
      </c>
      <c r="B292" t="s">
        <v>8</v>
      </c>
      <c r="C292">
        <v>58498.400000000001</v>
      </c>
      <c r="D292">
        <v>82.72</v>
      </c>
      <c r="E292">
        <v>4838985</v>
      </c>
      <c r="F292">
        <v>1206895</v>
      </c>
      <c r="G292">
        <v>156000</v>
      </c>
      <c r="H292">
        <v>3476089</v>
      </c>
      <c r="I292">
        <v>64800</v>
      </c>
      <c r="J292">
        <v>0.45140000000000002</v>
      </c>
      <c r="K292">
        <v>18</v>
      </c>
      <c r="L292">
        <v>0.97499999999999998</v>
      </c>
      <c r="M292" t="s">
        <v>114</v>
      </c>
      <c r="N292" t="s">
        <v>9</v>
      </c>
      <c r="O292" t="s">
        <v>10</v>
      </c>
      <c r="P292" t="s">
        <v>11</v>
      </c>
      <c r="Q292">
        <v>180</v>
      </c>
      <c r="R292" t="s">
        <v>12</v>
      </c>
    </row>
    <row r="293" spans="1:18" x14ac:dyDescent="0.35">
      <c r="A293" s="1">
        <v>45962</v>
      </c>
      <c r="B293" t="s">
        <v>13</v>
      </c>
      <c r="C293">
        <v>3528</v>
      </c>
      <c r="D293">
        <v>80.19</v>
      </c>
      <c r="E293">
        <v>282911</v>
      </c>
      <c r="F293">
        <v>109323</v>
      </c>
      <c r="G293">
        <v>43050</v>
      </c>
      <c r="H293">
        <v>130539</v>
      </c>
      <c r="I293">
        <v>8320</v>
      </c>
      <c r="J293">
        <v>6.5299999999999997E-2</v>
      </c>
      <c r="K293">
        <v>7</v>
      </c>
      <c r="L293">
        <v>0.99029999999999996</v>
      </c>
      <c r="M293" t="s">
        <v>114</v>
      </c>
      <c r="N293" t="s">
        <v>14</v>
      </c>
      <c r="O293" t="s">
        <v>15</v>
      </c>
      <c r="P293" t="s">
        <v>16</v>
      </c>
      <c r="Q293">
        <v>75</v>
      </c>
      <c r="R293" t="s">
        <v>12</v>
      </c>
    </row>
    <row r="294" spans="1:18" x14ac:dyDescent="0.35">
      <c r="A294" s="1">
        <v>45962</v>
      </c>
      <c r="B294" t="s">
        <v>17</v>
      </c>
      <c r="C294">
        <v>1975.7</v>
      </c>
      <c r="D294">
        <v>80.19</v>
      </c>
      <c r="E294">
        <v>158430</v>
      </c>
      <c r="F294">
        <v>65135</v>
      </c>
      <c r="G294">
        <v>30750</v>
      </c>
      <c r="H294">
        <v>62546</v>
      </c>
      <c r="I294">
        <v>8320</v>
      </c>
      <c r="J294">
        <v>6.5299999999999997E-2</v>
      </c>
      <c r="K294">
        <v>7</v>
      </c>
      <c r="L294">
        <v>0.99029999999999996</v>
      </c>
      <c r="M294" t="s">
        <v>114</v>
      </c>
      <c r="N294" t="s">
        <v>18</v>
      </c>
      <c r="O294" t="s">
        <v>15</v>
      </c>
      <c r="P294" t="s">
        <v>19</v>
      </c>
      <c r="Q294">
        <v>42</v>
      </c>
      <c r="R294" t="s">
        <v>12</v>
      </c>
    </row>
    <row r="295" spans="1:18" x14ac:dyDescent="0.35">
      <c r="A295" s="1">
        <v>45962</v>
      </c>
      <c r="B295" t="s">
        <v>20</v>
      </c>
      <c r="C295">
        <v>16221.8</v>
      </c>
      <c r="D295">
        <v>47.99</v>
      </c>
      <c r="E295">
        <v>778502</v>
      </c>
      <c r="F295">
        <v>322698</v>
      </c>
      <c r="G295">
        <v>67600</v>
      </c>
      <c r="H295">
        <v>388205</v>
      </c>
      <c r="I295">
        <v>75600</v>
      </c>
      <c r="J295">
        <v>0.3755</v>
      </c>
      <c r="K295">
        <v>11</v>
      </c>
      <c r="L295">
        <v>0.98470000000000002</v>
      </c>
      <c r="M295" t="s">
        <v>114</v>
      </c>
      <c r="N295" t="s">
        <v>21</v>
      </c>
      <c r="O295" t="s">
        <v>22</v>
      </c>
      <c r="P295" t="s">
        <v>23</v>
      </c>
      <c r="Q295">
        <v>60</v>
      </c>
      <c r="R295" t="s">
        <v>24</v>
      </c>
    </row>
    <row r="296" spans="1:18" x14ac:dyDescent="0.35">
      <c r="A296" s="1">
        <v>45962</v>
      </c>
      <c r="B296" t="s">
        <v>25</v>
      </c>
      <c r="C296">
        <v>3542.5</v>
      </c>
      <c r="D296">
        <v>118</v>
      </c>
      <c r="E296">
        <v>418020</v>
      </c>
      <c r="F296">
        <v>869424</v>
      </c>
      <c r="G296">
        <v>100700</v>
      </c>
      <c r="H296">
        <v>-552104</v>
      </c>
      <c r="I296">
        <v>598000</v>
      </c>
      <c r="J296">
        <v>0.246</v>
      </c>
      <c r="K296">
        <v>51</v>
      </c>
      <c r="L296">
        <v>0.92920000000000003</v>
      </c>
      <c r="M296" t="s">
        <v>114</v>
      </c>
      <c r="N296" t="s">
        <v>26</v>
      </c>
      <c r="O296" t="s">
        <v>27</v>
      </c>
      <c r="P296" t="s">
        <v>28</v>
      </c>
      <c r="Q296">
        <v>25</v>
      </c>
      <c r="R296" t="s">
        <v>29</v>
      </c>
    </row>
    <row r="297" spans="1:18" x14ac:dyDescent="0.35">
      <c r="A297" s="1">
        <v>45992</v>
      </c>
      <c r="B297" t="s">
        <v>8</v>
      </c>
      <c r="C297">
        <v>65647.100000000006</v>
      </c>
      <c r="D297">
        <v>88.36</v>
      </c>
      <c r="E297">
        <v>5800578</v>
      </c>
      <c r="F297">
        <v>1269466</v>
      </c>
      <c r="G297">
        <v>156000</v>
      </c>
      <c r="H297">
        <v>4375111</v>
      </c>
      <c r="I297">
        <v>64800</v>
      </c>
      <c r="J297">
        <v>0.49020000000000002</v>
      </c>
      <c r="K297">
        <v>18</v>
      </c>
      <c r="L297">
        <v>0.9758</v>
      </c>
      <c r="M297" t="s">
        <v>114</v>
      </c>
      <c r="N297" t="s">
        <v>9</v>
      </c>
      <c r="O297" t="s">
        <v>10</v>
      </c>
      <c r="P297" t="s">
        <v>11</v>
      </c>
      <c r="Q297">
        <v>180</v>
      </c>
      <c r="R297" t="s">
        <v>12</v>
      </c>
    </row>
    <row r="298" spans="1:18" x14ac:dyDescent="0.35">
      <c r="A298" s="1">
        <v>45992</v>
      </c>
      <c r="B298" t="s">
        <v>13</v>
      </c>
      <c r="C298">
        <v>2820.4</v>
      </c>
      <c r="D298">
        <v>86.13</v>
      </c>
      <c r="E298">
        <v>242924</v>
      </c>
      <c r="F298">
        <v>107021</v>
      </c>
      <c r="G298">
        <v>43050</v>
      </c>
      <c r="H298">
        <v>92853</v>
      </c>
      <c r="I298">
        <v>8320</v>
      </c>
      <c r="J298">
        <v>5.0500000000000003E-2</v>
      </c>
      <c r="K298">
        <v>3</v>
      </c>
      <c r="L298">
        <v>0.996</v>
      </c>
      <c r="M298" t="s">
        <v>114</v>
      </c>
      <c r="N298" t="s">
        <v>14</v>
      </c>
      <c r="O298" t="s">
        <v>15</v>
      </c>
      <c r="P298" t="s">
        <v>16</v>
      </c>
      <c r="Q298">
        <v>75</v>
      </c>
      <c r="R298" t="s">
        <v>12</v>
      </c>
    </row>
    <row r="299" spans="1:18" x14ac:dyDescent="0.35">
      <c r="A299" s="1">
        <v>45992</v>
      </c>
      <c r="B299" t="s">
        <v>17</v>
      </c>
      <c r="C299">
        <v>1579.4</v>
      </c>
      <c r="D299">
        <v>86.13</v>
      </c>
      <c r="E299">
        <v>136037</v>
      </c>
      <c r="F299">
        <v>63846</v>
      </c>
      <c r="G299">
        <v>30750</v>
      </c>
      <c r="H299">
        <v>41441</v>
      </c>
      <c r="I299">
        <v>8320</v>
      </c>
      <c r="J299">
        <v>5.0500000000000003E-2</v>
      </c>
      <c r="K299">
        <v>3</v>
      </c>
      <c r="L299">
        <v>0.996</v>
      </c>
      <c r="M299" t="s">
        <v>114</v>
      </c>
      <c r="N299" t="s">
        <v>18</v>
      </c>
      <c r="O299" t="s">
        <v>15</v>
      </c>
      <c r="P299" t="s">
        <v>19</v>
      </c>
      <c r="Q299">
        <v>42</v>
      </c>
      <c r="R299" t="s">
        <v>12</v>
      </c>
    </row>
    <row r="300" spans="1:18" x14ac:dyDescent="0.35">
      <c r="A300" s="1">
        <v>45992</v>
      </c>
      <c r="B300" t="s">
        <v>20</v>
      </c>
      <c r="C300">
        <v>16747.400000000001</v>
      </c>
      <c r="D300">
        <v>48.55</v>
      </c>
      <c r="E300">
        <v>813118</v>
      </c>
      <c r="F300">
        <v>324487</v>
      </c>
      <c r="G300">
        <v>67600</v>
      </c>
      <c r="H300">
        <v>421031</v>
      </c>
      <c r="I300">
        <v>75600</v>
      </c>
      <c r="J300">
        <v>0.37519999999999998</v>
      </c>
      <c r="K300">
        <v>11</v>
      </c>
      <c r="L300">
        <v>0.98519999999999996</v>
      </c>
      <c r="M300" t="s">
        <v>114</v>
      </c>
      <c r="N300" t="s">
        <v>21</v>
      </c>
      <c r="O300" t="s">
        <v>22</v>
      </c>
      <c r="P300" t="s">
        <v>23</v>
      </c>
      <c r="Q300">
        <v>60</v>
      </c>
      <c r="R300" t="s">
        <v>24</v>
      </c>
    </row>
    <row r="301" spans="1:18" x14ac:dyDescent="0.35">
      <c r="A301" s="1">
        <v>45992</v>
      </c>
      <c r="B301" t="s">
        <v>25</v>
      </c>
      <c r="C301">
        <v>3845.3</v>
      </c>
      <c r="D301">
        <v>118</v>
      </c>
      <c r="E301">
        <v>453744</v>
      </c>
      <c r="F301">
        <v>903165</v>
      </c>
      <c r="G301">
        <v>100700</v>
      </c>
      <c r="H301">
        <v>-550121</v>
      </c>
      <c r="I301">
        <v>598000</v>
      </c>
      <c r="J301">
        <v>0.25840000000000002</v>
      </c>
      <c r="K301">
        <v>28</v>
      </c>
      <c r="L301">
        <v>0.96240000000000003</v>
      </c>
      <c r="M301" t="s">
        <v>114</v>
      </c>
      <c r="N301" t="s">
        <v>26</v>
      </c>
      <c r="O301" t="s">
        <v>27</v>
      </c>
      <c r="P301" t="s">
        <v>28</v>
      </c>
      <c r="Q301">
        <v>25</v>
      </c>
      <c r="R301" t="s">
        <v>29</v>
      </c>
    </row>
    <row r="302" spans="1:18" x14ac:dyDescent="0.35">
      <c r="A302" s="1">
        <v>46023</v>
      </c>
      <c r="B302" t="s">
        <v>8</v>
      </c>
      <c r="C302">
        <v>64714.5</v>
      </c>
      <c r="D302">
        <v>84.94</v>
      </c>
      <c r="E302">
        <v>5496901</v>
      </c>
      <c r="F302">
        <v>1258148</v>
      </c>
      <c r="G302">
        <v>156000</v>
      </c>
      <c r="H302">
        <v>4082753</v>
      </c>
      <c r="I302">
        <v>64800</v>
      </c>
      <c r="J302">
        <v>0.48320000000000002</v>
      </c>
      <c r="K302">
        <v>14</v>
      </c>
      <c r="L302">
        <v>0.98119999999999996</v>
      </c>
      <c r="M302" t="s">
        <v>114</v>
      </c>
      <c r="N302" t="s">
        <v>9</v>
      </c>
      <c r="O302" t="s">
        <v>10</v>
      </c>
      <c r="P302" t="s">
        <v>11</v>
      </c>
      <c r="Q302">
        <v>180</v>
      </c>
      <c r="R302" t="s">
        <v>12</v>
      </c>
    </row>
    <row r="303" spans="1:18" x14ac:dyDescent="0.35">
      <c r="A303" s="1">
        <v>46023</v>
      </c>
      <c r="B303" t="s">
        <v>13</v>
      </c>
      <c r="C303">
        <v>3102.5</v>
      </c>
      <c r="D303">
        <v>80.67</v>
      </c>
      <c r="E303">
        <v>250262</v>
      </c>
      <c r="F303">
        <v>107938</v>
      </c>
      <c r="G303">
        <v>43050</v>
      </c>
      <c r="H303">
        <v>99273</v>
      </c>
      <c r="I303">
        <v>8320</v>
      </c>
      <c r="J303">
        <v>5.5599999999999997E-2</v>
      </c>
      <c r="K303">
        <v>3</v>
      </c>
      <c r="L303">
        <v>0.996</v>
      </c>
      <c r="M303" t="s">
        <v>114</v>
      </c>
      <c r="N303" t="s">
        <v>14</v>
      </c>
      <c r="O303" t="s">
        <v>15</v>
      </c>
      <c r="P303" t="s">
        <v>16</v>
      </c>
      <c r="Q303">
        <v>75</v>
      </c>
      <c r="R303" t="s">
        <v>12</v>
      </c>
    </row>
    <row r="304" spans="1:18" x14ac:dyDescent="0.35">
      <c r="A304" s="1">
        <v>46023</v>
      </c>
      <c r="B304" t="s">
        <v>17</v>
      </c>
      <c r="C304">
        <v>1737.4</v>
      </c>
      <c r="D304">
        <v>80.67</v>
      </c>
      <c r="E304">
        <v>140147</v>
      </c>
      <c r="F304">
        <v>64359</v>
      </c>
      <c r="G304">
        <v>30750</v>
      </c>
      <c r="H304">
        <v>45037</v>
      </c>
      <c r="I304">
        <v>8320</v>
      </c>
      <c r="J304">
        <v>5.5599999999999997E-2</v>
      </c>
      <c r="K304">
        <v>3</v>
      </c>
      <c r="L304">
        <v>0.996</v>
      </c>
      <c r="M304" t="s">
        <v>114</v>
      </c>
      <c r="N304" t="s">
        <v>18</v>
      </c>
      <c r="O304" t="s">
        <v>15</v>
      </c>
      <c r="P304" t="s">
        <v>19</v>
      </c>
      <c r="Q304">
        <v>42</v>
      </c>
      <c r="R304" t="s">
        <v>12</v>
      </c>
    </row>
    <row r="305" spans="1:18" x14ac:dyDescent="0.35">
      <c r="A305" s="1">
        <v>46023</v>
      </c>
      <c r="B305" t="s">
        <v>20</v>
      </c>
      <c r="C305">
        <v>18083.599999999999</v>
      </c>
      <c r="D305">
        <v>51.52</v>
      </c>
      <c r="E305">
        <v>931674</v>
      </c>
      <c r="F305">
        <v>320205</v>
      </c>
      <c r="G305">
        <v>67600</v>
      </c>
      <c r="H305">
        <v>543869</v>
      </c>
      <c r="I305">
        <v>75600</v>
      </c>
      <c r="J305">
        <v>0.40510000000000002</v>
      </c>
      <c r="K305">
        <v>11</v>
      </c>
      <c r="L305">
        <v>0.98519999999999996</v>
      </c>
      <c r="M305" t="s">
        <v>114</v>
      </c>
      <c r="N305" t="s">
        <v>21</v>
      </c>
      <c r="O305" t="s">
        <v>22</v>
      </c>
      <c r="P305" t="s">
        <v>23</v>
      </c>
      <c r="Q305">
        <v>60</v>
      </c>
      <c r="R305" t="s">
        <v>24</v>
      </c>
    </row>
    <row r="306" spans="1:18" x14ac:dyDescent="0.35">
      <c r="A306" s="1">
        <v>46023</v>
      </c>
      <c r="B306" t="s">
        <v>25</v>
      </c>
      <c r="C306">
        <v>4637.2</v>
      </c>
      <c r="D306">
        <v>118</v>
      </c>
      <c r="E306">
        <v>547190</v>
      </c>
      <c r="F306">
        <v>891047</v>
      </c>
      <c r="G306">
        <v>100700</v>
      </c>
      <c r="H306">
        <v>-444557</v>
      </c>
      <c r="I306">
        <v>462000</v>
      </c>
      <c r="J306">
        <v>0.31159999999999999</v>
      </c>
      <c r="K306">
        <v>28</v>
      </c>
      <c r="L306">
        <v>0.96240000000000003</v>
      </c>
      <c r="M306" t="s">
        <v>114</v>
      </c>
      <c r="N306" t="s">
        <v>26</v>
      </c>
      <c r="O306" t="s">
        <v>27</v>
      </c>
      <c r="P306" t="s">
        <v>28</v>
      </c>
      <c r="Q306">
        <v>25</v>
      </c>
      <c r="R306" t="s">
        <v>29</v>
      </c>
    </row>
    <row r="307" spans="1:18" x14ac:dyDescent="0.35">
      <c r="A307" s="1">
        <v>46054</v>
      </c>
      <c r="B307" t="s">
        <v>8</v>
      </c>
      <c r="C307">
        <v>54831.8</v>
      </c>
      <c r="D307">
        <v>81.25</v>
      </c>
      <c r="E307">
        <v>4455325</v>
      </c>
      <c r="F307">
        <v>1172297</v>
      </c>
      <c r="G307">
        <v>156000</v>
      </c>
      <c r="H307">
        <v>3127027</v>
      </c>
      <c r="I307">
        <v>64800</v>
      </c>
      <c r="J307">
        <v>0.45329999999999998</v>
      </c>
      <c r="K307">
        <v>14</v>
      </c>
      <c r="L307">
        <v>0.97919999999999996</v>
      </c>
      <c r="M307" t="s">
        <v>114</v>
      </c>
      <c r="N307" t="s">
        <v>9</v>
      </c>
      <c r="O307" t="s">
        <v>10</v>
      </c>
      <c r="P307" t="s">
        <v>11</v>
      </c>
      <c r="Q307">
        <v>180</v>
      </c>
      <c r="R307" t="s">
        <v>12</v>
      </c>
    </row>
    <row r="308" spans="1:18" x14ac:dyDescent="0.35">
      <c r="A308" s="1">
        <v>46054</v>
      </c>
      <c r="B308" t="s">
        <v>13</v>
      </c>
      <c r="C308">
        <v>4049.8</v>
      </c>
      <c r="D308">
        <v>76.86</v>
      </c>
      <c r="E308">
        <v>311286</v>
      </c>
      <c r="F308">
        <v>111021</v>
      </c>
      <c r="G308">
        <v>43050</v>
      </c>
      <c r="H308">
        <v>157215</v>
      </c>
      <c r="I308">
        <v>8320</v>
      </c>
      <c r="J308">
        <v>8.0399999999999999E-2</v>
      </c>
      <c r="K308">
        <v>7</v>
      </c>
      <c r="L308">
        <v>0.98960000000000004</v>
      </c>
      <c r="M308" t="s">
        <v>114</v>
      </c>
      <c r="N308" t="s">
        <v>14</v>
      </c>
      <c r="O308" t="s">
        <v>15</v>
      </c>
      <c r="P308" t="s">
        <v>16</v>
      </c>
      <c r="Q308">
        <v>75</v>
      </c>
      <c r="R308" t="s">
        <v>12</v>
      </c>
    </row>
    <row r="309" spans="1:18" x14ac:dyDescent="0.35">
      <c r="A309" s="1">
        <v>46054</v>
      </c>
      <c r="B309" t="s">
        <v>17</v>
      </c>
      <c r="C309">
        <v>2267.9</v>
      </c>
      <c r="D309">
        <v>76.86</v>
      </c>
      <c r="E309">
        <v>174320</v>
      </c>
      <c r="F309">
        <v>66086</v>
      </c>
      <c r="G309">
        <v>30750</v>
      </c>
      <c r="H309">
        <v>77485</v>
      </c>
      <c r="I309">
        <v>8320</v>
      </c>
      <c r="J309">
        <v>8.0399999999999999E-2</v>
      </c>
      <c r="K309">
        <v>7</v>
      </c>
      <c r="L309">
        <v>0.98960000000000004</v>
      </c>
      <c r="M309" t="s">
        <v>114</v>
      </c>
      <c r="N309" t="s">
        <v>18</v>
      </c>
      <c r="O309" t="s">
        <v>15</v>
      </c>
      <c r="P309" t="s">
        <v>19</v>
      </c>
      <c r="Q309">
        <v>42</v>
      </c>
      <c r="R309" t="s">
        <v>12</v>
      </c>
    </row>
    <row r="310" spans="1:18" x14ac:dyDescent="0.35">
      <c r="A310" s="1">
        <v>46054</v>
      </c>
      <c r="B310" t="s">
        <v>20</v>
      </c>
      <c r="C310">
        <v>18640.400000000001</v>
      </c>
      <c r="D310">
        <v>52.11</v>
      </c>
      <c r="E310">
        <v>971335</v>
      </c>
      <c r="F310">
        <v>321961</v>
      </c>
      <c r="G310">
        <v>67600</v>
      </c>
      <c r="H310">
        <v>581774</v>
      </c>
      <c r="I310">
        <v>75600</v>
      </c>
      <c r="J310">
        <v>0.46229999999999999</v>
      </c>
      <c r="K310">
        <v>11</v>
      </c>
      <c r="L310">
        <v>0.98360000000000003</v>
      </c>
      <c r="M310" t="s">
        <v>114</v>
      </c>
      <c r="N310" t="s">
        <v>21</v>
      </c>
      <c r="O310" t="s">
        <v>22</v>
      </c>
      <c r="P310" t="s">
        <v>23</v>
      </c>
      <c r="Q310">
        <v>60</v>
      </c>
      <c r="R310" t="s">
        <v>24</v>
      </c>
    </row>
    <row r="311" spans="1:18" x14ac:dyDescent="0.35">
      <c r="A311" s="1">
        <v>46054</v>
      </c>
      <c r="B311" t="s">
        <v>25</v>
      </c>
      <c r="C311">
        <v>4380.3999999999996</v>
      </c>
      <c r="D311">
        <v>118</v>
      </c>
      <c r="E311">
        <v>516883</v>
      </c>
      <c r="F311">
        <v>867051</v>
      </c>
      <c r="G311">
        <v>100700</v>
      </c>
      <c r="H311">
        <v>-450868</v>
      </c>
      <c r="I311">
        <v>462000</v>
      </c>
      <c r="J311">
        <v>0.32590000000000002</v>
      </c>
      <c r="K311">
        <v>28</v>
      </c>
      <c r="L311">
        <v>0.95830000000000004</v>
      </c>
      <c r="M311" t="s">
        <v>114</v>
      </c>
      <c r="N311" t="s">
        <v>26</v>
      </c>
      <c r="O311" t="s">
        <v>27</v>
      </c>
      <c r="P311" t="s">
        <v>28</v>
      </c>
      <c r="Q311">
        <v>25</v>
      </c>
      <c r="R311" t="s">
        <v>29</v>
      </c>
    </row>
    <row r="312" spans="1:18" x14ac:dyDescent="0.35">
      <c r="A312" s="1">
        <v>46082</v>
      </c>
      <c r="B312" t="s">
        <v>8</v>
      </c>
      <c r="C312">
        <v>56948.800000000003</v>
      </c>
      <c r="D312">
        <v>75.72</v>
      </c>
      <c r="E312">
        <v>4312433</v>
      </c>
      <c r="F312">
        <v>1190241</v>
      </c>
      <c r="G312">
        <v>156000</v>
      </c>
      <c r="H312">
        <v>2966193</v>
      </c>
      <c r="I312">
        <v>64800</v>
      </c>
      <c r="J312">
        <v>0.42520000000000002</v>
      </c>
      <c r="K312">
        <v>14</v>
      </c>
      <c r="L312">
        <v>0.98119999999999996</v>
      </c>
      <c r="M312" t="s">
        <v>114</v>
      </c>
      <c r="N312" t="s">
        <v>9</v>
      </c>
      <c r="O312" t="s">
        <v>10</v>
      </c>
      <c r="P312" t="s">
        <v>11</v>
      </c>
      <c r="Q312">
        <v>180</v>
      </c>
      <c r="R312" t="s">
        <v>12</v>
      </c>
    </row>
    <row r="313" spans="1:18" x14ac:dyDescent="0.35">
      <c r="A313" s="1">
        <v>46082</v>
      </c>
      <c r="B313" t="s">
        <v>13</v>
      </c>
      <c r="C313">
        <v>6769</v>
      </c>
      <c r="D313">
        <v>71.16</v>
      </c>
      <c r="E313">
        <v>481693</v>
      </c>
      <c r="F313">
        <v>119861</v>
      </c>
      <c r="G313">
        <v>43050</v>
      </c>
      <c r="H313">
        <v>318782</v>
      </c>
      <c r="I313">
        <v>31200</v>
      </c>
      <c r="J313">
        <v>0.12130000000000001</v>
      </c>
      <c r="K313">
        <v>3</v>
      </c>
      <c r="L313">
        <v>0.996</v>
      </c>
      <c r="M313" t="s">
        <v>114</v>
      </c>
      <c r="N313" t="s">
        <v>14</v>
      </c>
      <c r="O313" t="s">
        <v>15</v>
      </c>
      <c r="P313" t="s">
        <v>16</v>
      </c>
      <c r="Q313">
        <v>75</v>
      </c>
      <c r="R313" t="s">
        <v>12</v>
      </c>
    </row>
    <row r="314" spans="1:18" x14ac:dyDescent="0.35">
      <c r="A314" s="1">
        <v>46082</v>
      </c>
      <c r="B314" t="s">
        <v>17</v>
      </c>
      <c r="C314">
        <v>3790.7</v>
      </c>
      <c r="D314">
        <v>71.16</v>
      </c>
      <c r="E314">
        <v>269748</v>
      </c>
      <c r="F314">
        <v>71036</v>
      </c>
      <c r="G314">
        <v>30750</v>
      </c>
      <c r="H314">
        <v>167962</v>
      </c>
      <c r="I314">
        <v>31200</v>
      </c>
      <c r="J314">
        <v>0.12130000000000001</v>
      </c>
      <c r="K314">
        <v>3</v>
      </c>
      <c r="L314">
        <v>0.996</v>
      </c>
      <c r="M314" t="s">
        <v>114</v>
      </c>
      <c r="N314" t="s">
        <v>18</v>
      </c>
      <c r="O314" t="s">
        <v>15</v>
      </c>
      <c r="P314" t="s">
        <v>19</v>
      </c>
      <c r="Q314">
        <v>42</v>
      </c>
      <c r="R314" t="s">
        <v>12</v>
      </c>
    </row>
    <row r="315" spans="1:18" x14ac:dyDescent="0.35">
      <c r="A315" s="1">
        <v>46082</v>
      </c>
      <c r="B315" t="s">
        <v>20</v>
      </c>
      <c r="C315">
        <v>17595</v>
      </c>
      <c r="D315">
        <v>47.35</v>
      </c>
      <c r="E315">
        <v>833079</v>
      </c>
      <c r="F315">
        <v>316036</v>
      </c>
      <c r="G315">
        <v>67600</v>
      </c>
      <c r="H315">
        <v>449443</v>
      </c>
      <c r="I315">
        <v>75600</v>
      </c>
      <c r="J315">
        <v>0.39419999999999999</v>
      </c>
      <c r="K315">
        <v>23</v>
      </c>
      <c r="L315">
        <v>0.96909999999999996</v>
      </c>
      <c r="M315" t="s">
        <v>114</v>
      </c>
      <c r="N315" t="s">
        <v>21</v>
      </c>
      <c r="O315" t="s">
        <v>22</v>
      </c>
      <c r="P315" t="s">
        <v>23</v>
      </c>
      <c r="Q315">
        <v>60</v>
      </c>
      <c r="R315" t="s">
        <v>24</v>
      </c>
    </row>
    <row r="316" spans="1:18" x14ac:dyDescent="0.35">
      <c r="A316" s="1">
        <v>46082</v>
      </c>
      <c r="B316" t="s">
        <v>25</v>
      </c>
      <c r="C316">
        <v>5062.2</v>
      </c>
      <c r="D316">
        <v>118</v>
      </c>
      <c r="E316">
        <v>597337</v>
      </c>
      <c r="F316">
        <v>930752</v>
      </c>
      <c r="G316">
        <v>100700</v>
      </c>
      <c r="H316">
        <v>-434115</v>
      </c>
      <c r="I316">
        <v>462000</v>
      </c>
      <c r="J316">
        <v>0.3402</v>
      </c>
      <c r="K316">
        <v>28</v>
      </c>
      <c r="L316">
        <v>0.96240000000000003</v>
      </c>
      <c r="M316" t="s">
        <v>114</v>
      </c>
      <c r="N316" t="s">
        <v>26</v>
      </c>
      <c r="O316" t="s">
        <v>27</v>
      </c>
      <c r="P316" t="s">
        <v>28</v>
      </c>
      <c r="Q316">
        <v>25</v>
      </c>
      <c r="R316" t="s">
        <v>29</v>
      </c>
    </row>
    <row r="317" spans="1:18" x14ac:dyDescent="0.35">
      <c r="A317" s="1">
        <v>46113</v>
      </c>
      <c r="B317" t="s">
        <v>8</v>
      </c>
      <c r="C317">
        <v>46622.8</v>
      </c>
      <c r="D317">
        <v>70.2</v>
      </c>
      <c r="E317">
        <v>3272697</v>
      </c>
      <c r="F317">
        <v>1227988</v>
      </c>
      <c r="G317">
        <v>156000</v>
      </c>
      <c r="H317">
        <v>1888710</v>
      </c>
      <c r="I317">
        <v>270000</v>
      </c>
      <c r="J317">
        <v>0.35970000000000002</v>
      </c>
      <c r="K317">
        <v>28</v>
      </c>
      <c r="L317">
        <v>0.96109999999999995</v>
      </c>
      <c r="M317" t="s">
        <v>114</v>
      </c>
      <c r="N317" t="s">
        <v>9</v>
      </c>
      <c r="O317" t="s">
        <v>10</v>
      </c>
      <c r="P317" t="s">
        <v>11</v>
      </c>
      <c r="Q317">
        <v>180</v>
      </c>
      <c r="R317" t="s">
        <v>12</v>
      </c>
    </row>
    <row r="318" spans="1:18" x14ac:dyDescent="0.35">
      <c r="A318" s="1">
        <v>46113</v>
      </c>
      <c r="B318" t="s">
        <v>13</v>
      </c>
      <c r="C318">
        <v>8733.1</v>
      </c>
      <c r="D318">
        <v>65.459999999999994</v>
      </c>
      <c r="E318">
        <v>571656</v>
      </c>
      <c r="F318">
        <v>126248</v>
      </c>
      <c r="G318">
        <v>43050</v>
      </c>
      <c r="H318">
        <v>402357</v>
      </c>
      <c r="I318">
        <v>8320</v>
      </c>
      <c r="J318">
        <v>0.16170000000000001</v>
      </c>
      <c r="K318">
        <v>3</v>
      </c>
      <c r="L318">
        <v>0.99580000000000002</v>
      </c>
      <c r="M318" t="s">
        <v>114</v>
      </c>
      <c r="N318" t="s">
        <v>14</v>
      </c>
      <c r="O318" t="s">
        <v>15</v>
      </c>
      <c r="P318" t="s">
        <v>16</v>
      </c>
      <c r="Q318">
        <v>75</v>
      </c>
      <c r="R318" t="s">
        <v>12</v>
      </c>
    </row>
    <row r="319" spans="1:18" x14ac:dyDescent="0.35">
      <c r="A319" s="1">
        <v>46113</v>
      </c>
      <c r="B319" t="s">
        <v>17</v>
      </c>
      <c r="C319">
        <v>4890.5</v>
      </c>
      <c r="D319">
        <v>65.459999999999994</v>
      </c>
      <c r="E319">
        <v>320127</v>
      </c>
      <c r="F319">
        <v>74613</v>
      </c>
      <c r="G319">
        <v>30750</v>
      </c>
      <c r="H319">
        <v>214764</v>
      </c>
      <c r="I319">
        <v>8320</v>
      </c>
      <c r="J319">
        <v>0.16170000000000001</v>
      </c>
      <c r="K319">
        <v>3</v>
      </c>
      <c r="L319">
        <v>0.99580000000000002</v>
      </c>
      <c r="M319" t="s">
        <v>114</v>
      </c>
      <c r="N319" t="s">
        <v>18</v>
      </c>
      <c r="O319" t="s">
        <v>15</v>
      </c>
      <c r="P319" t="s">
        <v>19</v>
      </c>
      <c r="Q319">
        <v>42</v>
      </c>
      <c r="R319" t="s">
        <v>12</v>
      </c>
    </row>
    <row r="320" spans="1:18" x14ac:dyDescent="0.35">
      <c r="A320" s="1">
        <v>46113</v>
      </c>
      <c r="B320" t="s">
        <v>20</v>
      </c>
      <c r="C320">
        <v>17963</v>
      </c>
      <c r="D320">
        <v>47.94</v>
      </c>
      <c r="E320">
        <v>861074</v>
      </c>
      <c r="F320">
        <v>317791</v>
      </c>
      <c r="G320">
        <v>67600</v>
      </c>
      <c r="H320">
        <v>475683</v>
      </c>
      <c r="I320">
        <v>75600</v>
      </c>
      <c r="J320">
        <v>0.4158</v>
      </c>
      <c r="K320">
        <v>11</v>
      </c>
      <c r="L320">
        <v>0.98470000000000002</v>
      </c>
      <c r="M320" t="s">
        <v>114</v>
      </c>
      <c r="N320" t="s">
        <v>21</v>
      </c>
      <c r="O320" t="s">
        <v>22</v>
      </c>
      <c r="P320" t="s">
        <v>23</v>
      </c>
      <c r="Q320">
        <v>60</v>
      </c>
      <c r="R320" t="s">
        <v>24</v>
      </c>
    </row>
    <row r="321" spans="1:18" x14ac:dyDescent="0.35">
      <c r="A321" s="1">
        <v>46113</v>
      </c>
      <c r="B321" t="s">
        <v>25</v>
      </c>
      <c r="C321">
        <v>5104.5</v>
      </c>
      <c r="D321">
        <v>118</v>
      </c>
      <c r="E321">
        <v>602332</v>
      </c>
      <c r="F321">
        <v>934707</v>
      </c>
      <c r="G321">
        <v>100700</v>
      </c>
      <c r="H321">
        <v>-433075</v>
      </c>
      <c r="I321">
        <v>462000</v>
      </c>
      <c r="J321">
        <v>0.35449999999999998</v>
      </c>
      <c r="K321">
        <v>28</v>
      </c>
      <c r="L321">
        <v>0.96109999999999995</v>
      </c>
      <c r="M321" t="s">
        <v>114</v>
      </c>
      <c r="N321" t="s">
        <v>26</v>
      </c>
      <c r="O321" t="s">
        <v>27</v>
      </c>
      <c r="P321" t="s">
        <v>28</v>
      </c>
      <c r="Q321">
        <v>25</v>
      </c>
      <c r="R321" t="s">
        <v>29</v>
      </c>
    </row>
    <row r="322" spans="1:18" x14ac:dyDescent="0.35">
      <c r="A322" s="1">
        <v>46143</v>
      </c>
      <c r="B322" t="s">
        <v>8</v>
      </c>
      <c r="C322">
        <v>42711.6</v>
      </c>
      <c r="D322">
        <v>65.59</v>
      </c>
      <c r="E322">
        <v>2801332</v>
      </c>
      <c r="F322">
        <v>1065743</v>
      </c>
      <c r="G322">
        <v>156000</v>
      </c>
      <c r="H322">
        <v>1579589</v>
      </c>
      <c r="I322">
        <v>64800</v>
      </c>
      <c r="J322">
        <v>0.31890000000000002</v>
      </c>
      <c r="K322">
        <v>14</v>
      </c>
      <c r="L322">
        <v>0.98119999999999996</v>
      </c>
      <c r="M322" t="s">
        <v>114</v>
      </c>
      <c r="N322" t="s">
        <v>9</v>
      </c>
      <c r="O322" t="s">
        <v>10</v>
      </c>
      <c r="P322" t="s">
        <v>11</v>
      </c>
      <c r="Q322">
        <v>180</v>
      </c>
      <c r="R322" t="s">
        <v>12</v>
      </c>
    </row>
    <row r="323" spans="1:18" x14ac:dyDescent="0.35">
      <c r="A323" s="1">
        <v>46143</v>
      </c>
      <c r="B323" t="s">
        <v>13</v>
      </c>
      <c r="C323">
        <v>11281.7</v>
      </c>
      <c r="D323">
        <v>55.76</v>
      </c>
      <c r="E323">
        <v>629033</v>
      </c>
      <c r="F323">
        <v>134534</v>
      </c>
      <c r="G323">
        <v>43050</v>
      </c>
      <c r="H323">
        <v>451448</v>
      </c>
      <c r="I323">
        <v>8320</v>
      </c>
      <c r="J323">
        <v>0.20219999999999999</v>
      </c>
      <c r="K323">
        <v>3</v>
      </c>
      <c r="L323">
        <v>0.996</v>
      </c>
      <c r="M323" t="s">
        <v>114</v>
      </c>
      <c r="N323" t="s">
        <v>14</v>
      </c>
      <c r="O323" t="s">
        <v>15</v>
      </c>
      <c r="P323" t="s">
        <v>16</v>
      </c>
      <c r="Q323">
        <v>75</v>
      </c>
      <c r="R323" t="s">
        <v>12</v>
      </c>
    </row>
    <row r="324" spans="1:18" x14ac:dyDescent="0.35">
      <c r="A324" s="1">
        <v>46143</v>
      </c>
      <c r="B324" t="s">
        <v>17</v>
      </c>
      <c r="C324">
        <v>6317.8</v>
      </c>
      <c r="D324">
        <v>55.76</v>
      </c>
      <c r="E324">
        <v>352258</v>
      </c>
      <c r="F324">
        <v>79253</v>
      </c>
      <c r="G324">
        <v>30750</v>
      </c>
      <c r="H324">
        <v>242255</v>
      </c>
      <c r="I324">
        <v>8320</v>
      </c>
      <c r="J324">
        <v>0.20219999999999999</v>
      </c>
      <c r="K324">
        <v>3</v>
      </c>
      <c r="L324">
        <v>0.996</v>
      </c>
      <c r="M324" t="s">
        <v>114</v>
      </c>
      <c r="N324" t="s">
        <v>18</v>
      </c>
      <c r="O324" t="s">
        <v>15</v>
      </c>
      <c r="P324" t="s">
        <v>19</v>
      </c>
      <c r="Q324">
        <v>42</v>
      </c>
      <c r="R324" t="s">
        <v>12</v>
      </c>
    </row>
    <row r="325" spans="1:18" x14ac:dyDescent="0.35">
      <c r="A325" s="1">
        <v>46143</v>
      </c>
      <c r="B325" t="s">
        <v>20</v>
      </c>
      <c r="C325">
        <v>18331</v>
      </c>
      <c r="D325">
        <v>48.52</v>
      </c>
      <c r="E325">
        <v>889503</v>
      </c>
      <c r="F325">
        <v>319547</v>
      </c>
      <c r="G325">
        <v>67600</v>
      </c>
      <c r="H325">
        <v>502356</v>
      </c>
      <c r="I325">
        <v>75600</v>
      </c>
      <c r="J325">
        <v>0.41060000000000002</v>
      </c>
      <c r="K325">
        <v>11</v>
      </c>
      <c r="L325">
        <v>0.98519999999999996</v>
      </c>
      <c r="M325" t="s">
        <v>114</v>
      </c>
      <c r="N325" t="s">
        <v>21</v>
      </c>
      <c r="O325" t="s">
        <v>22</v>
      </c>
      <c r="P325" t="s">
        <v>23</v>
      </c>
      <c r="Q325">
        <v>60</v>
      </c>
      <c r="R325" t="s">
        <v>24</v>
      </c>
    </row>
    <row r="326" spans="1:18" x14ac:dyDescent="0.35">
      <c r="A326" s="1">
        <v>46143</v>
      </c>
      <c r="B326" t="s">
        <v>25</v>
      </c>
      <c r="C326">
        <v>5487.1</v>
      </c>
      <c r="D326">
        <v>118</v>
      </c>
      <c r="E326">
        <v>647484</v>
      </c>
      <c r="F326">
        <v>970456</v>
      </c>
      <c r="G326">
        <v>100700</v>
      </c>
      <c r="H326">
        <v>-423673</v>
      </c>
      <c r="I326">
        <v>462000</v>
      </c>
      <c r="J326">
        <v>0.36880000000000002</v>
      </c>
      <c r="K326">
        <v>51</v>
      </c>
      <c r="L326">
        <v>0.93149999999999999</v>
      </c>
      <c r="M326" t="s">
        <v>114</v>
      </c>
      <c r="N326" t="s">
        <v>26</v>
      </c>
      <c r="O326" t="s">
        <v>27</v>
      </c>
      <c r="P326" t="s">
        <v>28</v>
      </c>
      <c r="Q326">
        <v>25</v>
      </c>
      <c r="R326" t="s">
        <v>29</v>
      </c>
    </row>
    <row r="327" spans="1:18" x14ac:dyDescent="0.35">
      <c r="A327" s="1">
        <v>46174</v>
      </c>
      <c r="B327" t="s">
        <v>8</v>
      </c>
      <c r="C327">
        <v>37552.1</v>
      </c>
      <c r="D327">
        <v>61.9</v>
      </c>
      <c r="E327">
        <v>2324508</v>
      </c>
      <c r="F327">
        <v>1020747</v>
      </c>
      <c r="G327">
        <v>156000</v>
      </c>
      <c r="H327">
        <v>1147760</v>
      </c>
      <c r="I327">
        <v>64800</v>
      </c>
      <c r="J327">
        <v>0.2898</v>
      </c>
      <c r="K327">
        <v>14</v>
      </c>
      <c r="L327">
        <v>0.98060000000000003</v>
      </c>
      <c r="M327" t="s">
        <v>114</v>
      </c>
      <c r="N327" t="s">
        <v>9</v>
      </c>
      <c r="O327" t="s">
        <v>10</v>
      </c>
      <c r="P327" t="s">
        <v>11</v>
      </c>
      <c r="Q327">
        <v>180</v>
      </c>
      <c r="R327" t="s">
        <v>12</v>
      </c>
    </row>
    <row r="328" spans="1:18" x14ac:dyDescent="0.35">
      <c r="A328" s="1">
        <v>46174</v>
      </c>
      <c r="B328" t="s">
        <v>13</v>
      </c>
      <c r="C328">
        <v>12280.9</v>
      </c>
      <c r="D328">
        <v>51.96</v>
      </c>
      <c r="E328">
        <v>638055</v>
      </c>
      <c r="F328">
        <v>137785</v>
      </c>
      <c r="G328">
        <v>43050</v>
      </c>
      <c r="H328">
        <v>457220</v>
      </c>
      <c r="I328">
        <v>8320</v>
      </c>
      <c r="J328">
        <v>0.22739999999999999</v>
      </c>
      <c r="K328">
        <v>3</v>
      </c>
      <c r="L328">
        <v>0.99580000000000002</v>
      </c>
      <c r="M328" t="s">
        <v>114</v>
      </c>
      <c r="N328" t="s">
        <v>14</v>
      </c>
      <c r="O328" t="s">
        <v>15</v>
      </c>
      <c r="P328" t="s">
        <v>16</v>
      </c>
      <c r="Q328">
        <v>75</v>
      </c>
      <c r="R328" t="s">
        <v>12</v>
      </c>
    </row>
    <row r="329" spans="1:18" x14ac:dyDescent="0.35">
      <c r="A329" s="1">
        <v>46174</v>
      </c>
      <c r="B329" t="s">
        <v>17</v>
      </c>
      <c r="C329">
        <v>6877.3</v>
      </c>
      <c r="D329">
        <v>51.96</v>
      </c>
      <c r="E329">
        <v>357311</v>
      </c>
      <c r="F329">
        <v>81074</v>
      </c>
      <c r="G329">
        <v>30750</v>
      </c>
      <c r="H329">
        <v>245487</v>
      </c>
      <c r="I329">
        <v>8320</v>
      </c>
      <c r="J329">
        <v>0.22739999999999999</v>
      </c>
      <c r="K329">
        <v>3</v>
      </c>
      <c r="L329">
        <v>0.99580000000000002</v>
      </c>
      <c r="M329" t="s">
        <v>114</v>
      </c>
      <c r="N329" t="s">
        <v>18</v>
      </c>
      <c r="O329" t="s">
        <v>15</v>
      </c>
      <c r="P329" t="s">
        <v>19</v>
      </c>
      <c r="Q329">
        <v>42</v>
      </c>
      <c r="R329" t="s">
        <v>12</v>
      </c>
    </row>
    <row r="330" spans="1:18" x14ac:dyDescent="0.35">
      <c r="A330" s="1">
        <v>46174</v>
      </c>
      <c r="B330" t="s">
        <v>20</v>
      </c>
      <c r="C330">
        <v>18699</v>
      </c>
      <c r="D330">
        <v>49.11</v>
      </c>
      <c r="E330">
        <v>918364</v>
      </c>
      <c r="F330">
        <v>321302</v>
      </c>
      <c r="G330">
        <v>67600</v>
      </c>
      <c r="H330">
        <v>529462</v>
      </c>
      <c r="I330">
        <v>75600</v>
      </c>
      <c r="J330">
        <v>0.43280000000000002</v>
      </c>
      <c r="K330">
        <v>11</v>
      </c>
      <c r="L330">
        <v>0.98470000000000002</v>
      </c>
      <c r="M330" t="s">
        <v>114</v>
      </c>
      <c r="N330" t="s">
        <v>21</v>
      </c>
      <c r="O330" t="s">
        <v>22</v>
      </c>
      <c r="P330" t="s">
        <v>23</v>
      </c>
      <c r="Q330">
        <v>60</v>
      </c>
      <c r="R330" t="s">
        <v>24</v>
      </c>
    </row>
    <row r="331" spans="1:18" x14ac:dyDescent="0.35">
      <c r="A331" s="1">
        <v>46174</v>
      </c>
      <c r="B331" t="s">
        <v>25</v>
      </c>
      <c r="C331">
        <v>5515.8</v>
      </c>
      <c r="D331">
        <v>118</v>
      </c>
      <c r="E331">
        <v>650862</v>
      </c>
      <c r="F331">
        <v>973131</v>
      </c>
      <c r="G331">
        <v>100700</v>
      </c>
      <c r="H331">
        <v>-422970</v>
      </c>
      <c r="I331">
        <v>462000</v>
      </c>
      <c r="J331">
        <v>0.38300000000000001</v>
      </c>
      <c r="K331">
        <v>28</v>
      </c>
      <c r="L331">
        <v>0.96109999999999995</v>
      </c>
      <c r="M331" t="s">
        <v>114</v>
      </c>
      <c r="N331" t="s">
        <v>26</v>
      </c>
      <c r="O331" t="s">
        <v>27</v>
      </c>
      <c r="P331" t="s">
        <v>28</v>
      </c>
      <c r="Q331">
        <v>25</v>
      </c>
      <c r="R331" t="s">
        <v>29</v>
      </c>
    </row>
    <row r="332" spans="1:18" x14ac:dyDescent="0.35">
      <c r="A332" s="1">
        <v>46204</v>
      </c>
      <c r="B332" t="s">
        <v>8</v>
      </c>
      <c r="C332">
        <v>37534.400000000001</v>
      </c>
      <c r="D332">
        <v>60.06</v>
      </c>
      <c r="E332">
        <v>2254227</v>
      </c>
      <c r="F332">
        <v>1020471</v>
      </c>
      <c r="G332">
        <v>156000</v>
      </c>
      <c r="H332">
        <v>1077756</v>
      </c>
      <c r="I332">
        <v>64800</v>
      </c>
      <c r="J332">
        <v>0.28029999999999999</v>
      </c>
      <c r="K332">
        <v>14</v>
      </c>
      <c r="L332">
        <v>0.98119999999999996</v>
      </c>
      <c r="M332" t="s">
        <v>114</v>
      </c>
      <c r="N332" t="s">
        <v>9</v>
      </c>
      <c r="O332" t="s">
        <v>10</v>
      </c>
      <c r="P332" t="s">
        <v>11</v>
      </c>
      <c r="Q332">
        <v>180</v>
      </c>
      <c r="R332" t="s">
        <v>12</v>
      </c>
    </row>
    <row r="333" spans="1:18" x14ac:dyDescent="0.35">
      <c r="A333" s="1">
        <v>46204</v>
      </c>
      <c r="B333" t="s">
        <v>13</v>
      </c>
      <c r="C333">
        <v>12974</v>
      </c>
      <c r="D333">
        <v>50.05</v>
      </c>
      <c r="E333">
        <v>649405</v>
      </c>
      <c r="F333">
        <v>140037</v>
      </c>
      <c r="G333">
        <v>43050</v>
      </c>
      <c r="H333">
        <v>466318</v>
      </c>
      <c r="I333">
        <v>8320</v>
      </c>
      <c r="J333">
        <v>0.23250000000000001</v>
      </c>
      <c r="K333">
        <v>3</v>
      </c>
      <c r="L333">
        <v>0.996</v>
      </c>
      <c r="M333" t="s">
        <v>114</v>
      </c>
      <c r="N333" t="s">
        <v>14</v>
      </c>
      <c r="O333" t="s">
        <v>15</v>
      </c>
      <c r="P333" t="s">
        <v>16</v>
      </c>
      <c r="Q333">
        <v>75</v>
      </c>
      <c r="R333" t="s">
        <v>12</v>
      </c>
    </row>
    <row r="334" spans="1:18" x14ac:dyDescent="0.35">
      <c r="A334" s="1">
        <v>46204</v>
      </c>
      <c r="B334" t="s">
        <v>17</v>
      </c>
      <c r="C334">
        <v>7265.4</v>
      </c>
      <c r="D334">
        <v>50.05</v>
      </c>
      <c r="E334">
        <v>363667</v>
      </c>
      <c r="F334">
        <v>82335</v>
      </c>
      <c r="G334">
        <v>30750</v>
      </c>
      <c r="H334">
        <v>250582</v>
      </c>
      <c r="I334">
        <v>8320</v>
      </c>
      <c r="J334">
        <v>0.23250000000000001</v>
      </c>
      <c r="K334">
        <v>3</v>
      </c>
      <c r="L334">
        <v>0.996</v>
      </c>
      <c r="M334" t="s">
        <v>114</v>
      </c>
      <c r="N334" t="s">
        <v>18</v>
      </c>
      <c r="O334" t="s">
        <v>15</v>
      </c>
      <c r="P334" t="s">
        <v>19</v>
      </c>
      <c r="Q334">
        <v>42</v>
      </c>
      <c r="R334" t="s">
        <v>12</v>
      </c>
    </row>
    <row r="335" spans="1:18" x14ac:dyDescent="0.35">
      <c r="A335" s="1">
        <v>46204</v>
      </c>
      <c r="B335" t="s">
        <v>20</v>
      </c>
      <c r="C335">
        <v>19067</v>
      </c>
      <c r="D335">
        <v>49.7</v>
      </c>
      <c r="E335">
        <v>947659</v>
      </c>
      <c r="F335">
        <v>323058</v>
      </c>
      <c r="G335">
        <v>67600</v>
      </c>
      <c r="H335">
        <v>557001</v>
      </c>
      <c r="I335">
        <v>75600</v>
      </c>
      <c r="J335">
        <v>0.42709999999999998</v>
      </c>
      <c r="K335">
        <v>11</v>
      </c>
      <c r="L335">
        <v>0.98519999999999996</v>
      </c>
      <c r="M335" t="s">
        <v>114</v>
      </c>
      <c r="N335" t="s">
        <v>21</v>
      </c>
      <c r="O335" t="s">
        <v>22</v>
      </c>
      <c r="P335" t="s">
        <v>23</v>
      </c>
      <c r="Q335">
        <v>60</v>
      </c>
      <c r="R335" t="s">
        <v>24</v>
      </c>
    </row>
    <row r="336" spans="1:18" x14ac:dyDescent="0.35">
      <c r="A336" s="1">
        <v>46204</v>
      </c>
      <c r="B336" t="s">
        <v>25</v>
      </c>
      <c r="C336">
        <v>5912.1</v>
      </c>
      <c r="D336">
        <v>118</v>
      </c>
      <c r="E336">
        <v>697630</v>
      </c>
      <c r="F336">
        <v>1010161</v>
      </c>
      <c r="G336">
        <v>100700</v>
      </c>
      <c r="H336">
        <v>-413231</v>
      </c>
      <c r="I336">
        <v>462000</v>
      </c>
      <c r="J336">
        <v>0.39729999999999999</v>
      </c>
      <c r="K336">
        <v>28</v>
      </c>
      <c r="L336">
        <v>0.96240000000000003</v>
      </c>
      <c r="M336" t="s">
        <v>114</v>
      </c>
      <c r="N336" t="s">
        <v>26</v>
      </c>
      <c r="O336" t="s">
        <v>27</v>
      </c>
      <c r="P336" t="s">
        <v>28</v>
      </c>
      <c r="Q336">
        <v>25</v>
      </c>
      <c r="R336" t="s">
        <v>29</v>
      </c>
    </row>
    <row r="337" spans="1:18" x14ac:dyDescent="0.35">
      <c r="A337" s="1">
        <v>46235</v>
      </c>
      <c r="B337" t="s">
        <v>8</v>
      </c>
      <c r="C337">
        <v>40123</v>
      </c>
      <c r="D337">
        <v>62.82</v>
      </c>
      <c r="E337">
        <v>2520623</v>
      </c>
      <c r="F337">
        <v>1043107</v>
      </c>
      <c r="G337">
        <v>156000</v>
      </c>
      <c r="H337">
        <v>1321516</v>
      </c>
      <c r="I337">
        <v>64800</v>
      </c>
      <c r="J337">
        <v>0.29959999999999998</v>
      </c>
      <c r="K337">
        <v>14</v>
      </c>
      <c r="L337">
        <v>0.98119999999999996</v>
      </c>
      <c r="M337" t="s">
        <v>114</v>
      </c>
      <c r="N337" t="s">
        <v>9</v>
      </c>
      <c r="O337" t="s">
        <v>10</v>
      </c>
      <c r="P337" t="s">
        <v>11</v>
      </c>
      <c r="Q337">
        <v>180</v>
      </c>
      <c r="R337" t="s">
        <v>12</v>
      </c>
    </row>
    <row r="338" spans="1:18" x14ac:dyDescent="0.35">
      <c r="A338" s="1">
        <v>46235</v>
      </c>
      <c r="B338" t="s">
        <v>13</v>
      </c>
      <c r="C338">
        <v>11563.8</v>
      </c>
      <c r="D338">
        <v>52.91</v>
      </c>
      <c r="E338">
        <v>611788</v>
      </c>
      <c r="F338">
        <v>135452</v>
      </c>
      <c r="G338">
        <v>43050</v>
      </c>
      <c r="H338">
        <v>433286</v>
      </c>
      <c r="I338">
        <v>8320</v>
      </c>
      <c r="J338">
        <v>0.2072</v>
      </c>
      <c r="K338">
        <v>3</v>
      </c>
      <c r="L338">
        <v>0.996</v>
      </c>
      <c r="M338" t="s">
        <v>114</v>
      </c>
      <c r="N338" t="s">
        <v>14</v>
      </c>
      <c r="O338" t="s">
        <v>15</v>
      </c>
      <c r="P338" t="s">
        <v>16</v>
      </c>
      <c r="Q338">
        <v>75</v>
      </c>
      <c r="R338" t="s">
        <v>12</v>
      </c>
    </row>
    <row r="339" spans="1:18" x14ac:dyDescent="0.35">
      <c r="A339" s="1">
        <v>46235</v>
      </c>
      <c r="B339" t="s">
        <v>17</v>
      </c>
      <c r="C339">
        <v>6475.7</v>
      </c>
      <c r="D339">
        <v>52.91</v>
      </c>
      <c r="E339">
        <v>342601</v>
      </c>
      <c r="F339">
        <v>79767</v>
      </c>
      <c r="G339">
        <v>30750</v>
      </c>
      <c r="H339">
        <v>232084</v>
      </c>
      <c r="I339">
        <v>8320</v>
      </c>
      <c r="J339">
        <v>0.2072</v>
      </c>
      <c r="K339">
        <v>3</v>
      </c>
      <c r="L339">
        <v>0.996</v>
      </c>
      <c r="M339" t="s">
        <v>114</v>
      </c>
      <c r="N339" t="s">
        <v>18</v>
      </c>
      <c r="O339" t="s">
        <v>15</v>
      </c>
      <c r="P339" t="s">
        <v>19</v>
      </c>
      <c r="Q339">
        <v>42</v>
      </c>
      <c r="R339" t="s">
        <v>12</v>
      </c>
    </row>
    <row r="340" spans="1:18" x14ac:dyDescent="0.35">
      <c r="A340" s="1">
        <v>46235</v>
      </c>
      <c r="B340" t="s">
        <v>20</v>
      </c>
      <c r="C340">
        <v>19435</v>
      </c>
      <c r="D340">
        <v>50.29</v>
      </c>
      <c r="E340">
        <v>977386</v>
      </c>
      <c r="F340">
        <v>324813</v>
      </c>
      <c r="G340">
        <v>67600</v>
      </c>
      <c r="H340">
        <v>584973</v>
      </c>
      <c r="I340">
        <v>75600</v>
      </c>
      <c r="J340">
        <v>0.43540000000000001</v>
      </c>
      <c r="K340">
        <v>11</v>
      </c>
      <c r="L340">
        <v>0.98519999999999996</v>
      </c>
      <c r="M340" t="s">
        <v>114</v>
      </c>
      <c r="N340" t="s">
        <v>21</v>
      </c>
      <c r="O340" t="s">
        <v>22</v>
      </c>
      <c r="P340" t="s">
        <v>23</v>
      </c>
      <c r="Q340">
        <v>60</v>
      </c>
      <c r="R340" t="s">
        <v>24</v>
      </c>
    </row>
    <row r="341" spans="1:18" x14ac:dyDescent="0.35">
      <c r="A341" s="1">
        <v>46235</v>
      </c>
      <c r="B341" t="s">
        <v>25</v>
      </c>
      <c r="C341">
        <v>6562.1</v>
      </c>
      <c r="D341">
        <v>118</v>
      </c>
      <c r="E341">
        <v>774325</v>
      </c>
      <c r="F341">
        <v>1030013</v>
      </c>
      <c r="G341">
        <v>100700</v>
      </c>
      <c r="H341">
        <v>-356388</v>
      </c>
      <c r="I341">
        <v>462000</v>
      </c>
      <c r="J341">
        <v>0.441</v>
      </c>
      <c r="K341">
        <v>28</v>
      </c>
      <c r="L341">
        <v>0.96240000000000003</v>
      </c>
      <c r="M341" t="s">
        <v>114</v>
      </c>
      <c r="N341" t="s">
        <v>26</v>
      </c>
      <c r="O341" t="s">
        <v>27</v>
      </c>
      <c r="P341" t="s">
        <v>28</v>
      </c>
      <c r="Q341">
        <v>25</v>
      </c>
      <c r="R341" t="s">
        <v>29</v>
      </c>
    </row>
    <row r="342" spans="1:18" x14ac:dyDescent="0.35">
      <c r="A342" s="1">
        <v>46266</v>
      </c>
      <c r="B342" t="s">
        <v>8</v>
      </c>
      <c r="C342">
        <v>45062.6</v>
      </c>
      <c r="D342">
        <v>68.349999999999994</v>
      </c>
      <c r="E342">
        <v>3080117</v>
      </c>
      <c r="F342">
        <v>1086447</v>
      </c>
      <c r="G342">
        <v>156000</v>
      </c>
      <c r="H342">
        <v>1837670</v>
      </c>
      <c r="I342">
        <v>64800</v>
      </c>
      <c r="J342">
        <v>0.34770000000000001</v>
      </c>
      <c r="K342">
        <v>14</v>
      </c>
      <c r="L342">
        <v>0.98060000000000003</v>
      </c>
      <c r="M342" t="s">
        <v>114</v>
      </c>
      <c r="N342" t="s">
        <v>9</v>
      </c>
      <c r="O342" t="s">
        <v>10</v>
      </c>
      <c r="P342" t="s">
        <v>11</v>
      </c>
      <c r="Q342">
        <v>180</v>
      </c>
      <c r="R342" t="s">
        <v>12</v>
      </c>
    </row>
    <row r="343" spans="1:18" x14ac:dyDescent="0.35">
      <c r="A343" s="1">
        <v>46266</v>
      </c>
      <c r="B343" t="s">
        <v>13</v>
      </c>
      <c r="C343">
        <v>8460.2000000000007</v>
      </c>
      <c r="D343">
        <v>63.56</v>
      </c>
      <c r="E343">
        <v>537710</v>
      </c>
      <c r="F343">
        <v>125361</v>
      </c>
      <c r="G343">
        <v>43050</v>
      </c>
      <c r="H343">
        <v>369299</v>
      </c>
      <c r="I343">
        <v>31200</v>
      </c>
      <c r="J343">
        <v>0.15670000000000001</v>
      </c>
      <c r="K343">
        <v>3</v>
      </c>
      <c r="L343">
        <v>0.99580000000000002</v>
      </c>
      <c r="M343" t="s">
        <v>114</v>
      </c>
      <c r="N343" t="s">
        <v>14</v>
      </c>
      <c r="O343" t="s">
        <v>15</v>
      </c>
      <c r="P343" t="s">
        <v>16</v>
      </c>
      <c r="Q343">
        <v>75</v>
      </c>
      <c r="R343" t="s">
        <v>12</v>
      </c>
    </row>
    <row r="344" spans="1:18" x14ac:dyDescent="0.35">
      <c r="A344" s="1">
        <v>46266</v>
      </c>
      <c r="B344" t="s">
        <v>17</v>
      </c>
      <c r="C344">
        <v>4737.7</v>
      </c>
      <c r="D344">
        <v>63.56</v>
      </c>
      <c r="E344">
        <v>301118</v>
      </c>
      <c r="F344">
        <v>74116</v>
      </c>
      <c r="G344">
        <v>30750</v>
      </c>
      <c r="H344">
        <v>196252</v>
      </c>
      <c r="I344">
        <v>31200</v>
      </c>
      <c r="J344">
        <v>0.15670000000000001</v>
      </c>
      <c r="K344">
        <v>3</v>
      </c>
      <c r="L344">
        <v>0.99580000000000002</v>
      </c>
      <c r="M344" t="s">
        <v>114</v>
      </c>
      <c r="N344" t="s">
        <v>18</v>
      </c>
      <c r="O344" t="s">
        <v>15</v>
      </c>
      <c r="P344" t="s">
        <v>19</v>
      </c>
      <c r="Q344">
        <v>42</v>
      </c>
      <c r="R344" t="s">
        <v>12</v>
      </c>
    </row>
    <row r="345" spans="1:18" x14ac:dyDescent="0.35">
      <c r="A345" s="1">
        <v>46266</v>
      </c>
      <c r="B345" t="s">
        <v>20</v>
      </c>
      <c r="C345">
        <v>19803</v>
      </c>
      <c r="D345">
        <v>50.88</v>
      </c>
      <c r="E345">
        <v>1007547</v>
      </c>
      <c r="F345">
        <v>326569</v>
      </c>
      <c r="G345">
        <v>67600</v>
      </c>
      <c r="H345">
        <v>613378</v>
      </c>
      <c r="I345">
        <v>75600</v>
      </c>
      <c r="J345">
        <v>0.45839999999999997</v>
      </c>
      <c r="K345">
        <v>23</v>
      </c>
      <c r="L345">
        <v>0.96809999999999996</v>
      </c>
      <c r="M345" t="s">
        <v>114</v>
      </c>
      <c r="N345" t="s">
        <v>21</v>
      </c>
      <c r="O345" t="s">
        <v>22</v>
      </c>
      <c r="P345" t="s">
        <v>23</v>
      </c>
      <c r="Q345">
        <v>60</v>
      </c>
      <c r="R345" t="s">
        <v>24</v>
      </c>
    </row>
    <row r="346" spans="1:18" x14ac:dyDescent="0.35">
      <c r="A346" s="1">
        <v>46266</v>
      </c>
      <c r="B346" t="s">
        <v>25</v>
      </c>
      <c r="C346">
        <v>6570.7</v>
      </c>
      <c r="D346">
        <v>118</v>
      </c>
      <c r="E346">
        <v>775345</v>
      </c>
      <c r="F346">
        <v>1030767</v>
      </c>
      <c r="G346">
        <v>100700</v>
      </c>
      <c r="H346">
        <v>-356122</v>
      </c>
      <c r="I346">
        <v>462000</v>
      </c>
      <c r="J346">
        <v>0.45629999999999998</v>
      </c>
      <c r="K346">
        <v>28</v>
      </c>
      <c r="L346">
        <v>0.96109999999999995</v>
      </c>
      <c r="M346" t="s">
        <v>114</v>
      </c>
      <c r="N346" t="s">
        <v>26</v>
      </c>
      <c r="O346" t="s">
        <v>27</v>
      </c>
      <c r="P346" t="s">
        <v>28</v>
      </c>
      <c r="Q346">
        <v>25</v>
      </c>
      <c r="R346" t="s">
        <v>29</v>
      </c>
    </row>
    <row r="347" spans="1:18" x14ac:dyDescent="0.35">
      <c r="A347" s="1">
        <v>46296</v>
      </c>
      <c r="B347" t="s">
        <v>8</v>
      </c>
      <c r="C347">
        <v>53317.7</v>
      </c>
      <c r="D347">
        <v>75.72</v>
      </c>
      <c r="E347">
        <v>4037469</v>
      </c>
      <c r="F347">
        <v>1286387</v>
      </c>
      <c r="G347">
        <v>156000</v>
      </c>
      <c r="H347">
        <v>2595082</v>
      </c>
      <c r="I347">
        <v>270000</v>
      </c>
      <c r="J347">
        <v>0.39810000000000001</v>
      </c>
      <c r="K347">
        <v>28</v>
      </c>
      <c r="L347">
        <v>0.96240000000000003</v>
      </c>
      <c r="M347" t="s">
        <v>114</v>
      </c>
      <c r="N347" t="s">
        <v>9</v>
      </c>
      <c r="O347" t="s">
        <v>10</v>
      </c>
      <c r="P347" t="s">
        <v>11</v>
      </c>
      <c r="Q347">
        <v>180</v>
      </c>
      <c r="R347" t="s">
        <v>12</v>
      </c>
    </row>
    <row r="348" spans="1:18" x14ac:dyDescent="0.35">
      <c r="A348" s="1">
        <v>46296</v>
      </c>
      <c r="B348" t="s">
        <v>13</v>
      </c>
      <c r="C348">
        <v>5922.9</v>
      </c>
      <c r="D348">
        <v>71.16</v>
      </c>
      <c r="E348">
        <v>421481</v>
      </c>
      <c r="F348">
        <v>117109</v>
      </c>
      <c r="G348">
        <v>43050</v>
      </c>
      <c r="H348">
        <v>261322</v>
      </c>
      <c r="I348">
        <v>8320</v>
      </c>
      <c r="J348">
        <v>0.1061</v>
      </c>
      <c r="K348">
        <v>3</v>
      </c>
      <c r="L348">
        <v>0.996</v>
      </c>
      <c r="M348" t="s">
        <v>114</v>
      </c>
      <c r="N348" t="s">
        <v>14</v>
      </c>
      <c r="O348" t="s">
        <v>15</v>
      </c>
      <c r="P348" t="s">
        <v>16</v>
      </c>
      <c r="Q348">
        <v>75</v>
      </c>
      <c r="R348" t="s">
        <v>12</v>
      </c>
    </row>
    <row r="349" spans="1:18" x14ac:dyDescent="0.35">
      <c r="A349" s="1">
        <v>46296</v>
      </c>
      <c r="B349" t="s">
        <v>17</v>
      </c>
      <c r="C349">
        <v>3316.8</v>
      </c>
      <c r="D349">
        <v>71.16</v>
      </c>
      <c r="E349">
        <v>236029</v>
      </c>
      <c r="F349">
        <v>69495</v>
      </c>
      <c r="G349">
        <v>30750</v>
      </c>
      <c r="H349">
        <v>135784</v>
      </c>
      <c r="I349">
        <v>8320</v>
      </c>
      <c r="J349">
        <v>0.1061</v>
      </c>
      <c r="K349">
        <v>3</v>
      </c>
      <c r="L349">
        <v>0.996</v>
      </c>
      <c r="M349" t="s">
        <v>114</v>
      </c>
      <c r="N349" t="s">
        <v>18</v>
      </c>
      <c r="O349" t="s">
        <v>15</v>
      </c>
      <c r="P349" t="s">
        <v>19</v>
      </c>
      <c r="Q349">
        <v>42</v>
      </c>
      <c r="R349" t="s">
        <v>12</v>
      </c>
    </row>
    <row r="350" spans="1:18" x14ac:dyDescent="0.35">
      <c r="A350" s="1">
        <v>46296</v>
      </c>
      <c r="B350" t="s">
        <v>20</v>
      </c>
      <c r="C350">
        <v>20171</v>
      </c>
      <c r="D350">
        <v>51.47</v>
      </c>
      <c r="E350">
        <v>1038141</v>
      </c>
      <c r="F350">
        <v>328324</v>
      </c>
      <c r="G350">
        <v>67600</v>
      </c>
      <c r="H350">
        <v>642216</v>
      </c>
      <c r="I350">
        <v>75600</v>
      </c>
      <c r="J350">
        <v>0.45190000000000002</v>
      </c>
      <c r="K350">
        <v>11</v>
      </c>
      <c r="L350">
        <v>0.98519999999999996</v>
      </c>
      <c r="M350" t="s">
        <v>114</v>
      </c>
      <c r="N350" t="s">
        <v>21</v>
      </c>
      <c r="O350" t="s">
        <v>22</v>
      </c>
      <c r="P350" t="s">
        <v>23</v>
      </c>
      <c r="Q350">
        <v>60</v>
      </c>
      <c r="R350" t="s">
        <v>24</v>
      </c>
    </row>
    <row r="351" spans="1:18" x14ac:dyDescent="0.35">
      <c r="A351" s="1">
        <v>46296</v>
      </c>
      <c r="B351" t="s">
        <v>25</v>
      </c>
      <c r="C351">
        <v>7017.4</v>
      </c>
      <c r="D351">
        <v>118</v>
      </c>
      <c r="E351">
        <v>828054</v>
      </c>
      <c r="F351">
        <v>1069718</v>
      </c>
      <c r="G351">
        <v>100700</v>
      </c>
      <c r="H351">
        <v>-342364</v>
      </c>
      <c r="I351">
        <v>462000</v>
      </c>
      <c r="J351">
        <v>0.47160000000000002</v>
      </c>
      <c r="K351">
        <v>28</v>
      </c>
      <c r="L351">
        <v>0.96240000000000003</v>
      </c>
      <c r="M351" t="s">
        <v>114</v>
      </c>
      <c r="N351" t="s">
        <v>26</v>
      </c>
      <c r="O351" t="s">
        <v>27</v>
      </c>
      <c r="P351" t="s">
        <v>28</v>
      </c>
      <c r="Q351">
        <v>25</v>
      </c>
      <c r="R351" t="s">
        <v>29</v>
      </c>
    </row>
    <row r="352" spans="1:18" x14ac:dyDescent="0.35">
      <c r="A352" s="1">
        <v>46327</v>
      </c>
      <c r="B352" t="s">
        <v>8</v>
      </c>
      <c r="C352">
        <v>58831.7</v>
      </c>
      <c r="D352">
        <v>81.25</v>
      </c>
      <c r="E352">
        <v>4780333</v>
      </c>
      <c r="F352">
        <v>1206895</v>
      </c>
      <c r="G352">
        <v>156000</v>
      </c>
      <c r="H352">
        <v>3417438</v>
      </c>
      <c r="I352">
        <v>64800</v>
      </c>
      <c r="J352">
        <v>0.45390000000000003</v>
      </c>
      <c r="K352">
        <v>14</v>
      </c>
      <c r="L352">
        <v>0.98060000000000003</v>
      </c>
      <c r="M352" t="s">
        <v>114</v>
      </c>
      <c r="N352" t="s">
        <v>9</v>
      </c>
      <c r="O352" t="s">
        <v>10</v>
      </c>
      <c r="P352" t="s">
        <v>11</v>
      </c>
      <c r="Q352">
        <v>180</v>
      </c>
      <c r="R352" t="s">
        <v>12</v>
      </c>
    </row>
    <row r="353" spans="1:18" x14ac:dyDescent="0.35">
      <c r="A353" s="1">
        <v>46327</v>
      </c>
      <c r="B353" t="s">
        <v>13</v>
      </c>
      <c r="C353">
        <v>3528</v>
      </c>
      <c r="D353">
        <v>76.86</v>
      </c>
      <c r="E353">
        <v>271176</v>
      </c>
      <c r="F353">
        <v>109323</v>
      </c>
      <c r="G353">
        <v>43050</v>
      </c>
      <c r="H353">
        <v>118803</v>
      </c>
      <c r="I353">
        <v>8320</v>
      </c>
      <c r="J353">
        <v>6.5299999999999997E-2</v>
      </c>
      <c r="K353">
        <v>7</v>
      </c>
      <c r="L353">
        <v>0.99029999999999996</v>
      </c>
      <c r="M353" t="s">
        <v>114</v>
      </c>
      <c r="N353" t="s">
        <v>14</v>
      </c>
      <c r="O353" t="s">
        <v>15</v>
      </c>
      <c r="P353" t="s">
        <v>16</v>
      </c>
      <c r="Q353">
        <v>75</v>
      </c>
      <c r="R353" t="s">
        <v>12</v>
      </c>
    </row>
    <row r="354" spans="1:18" x14ac:dyDescent="0.35">
      <c r="A354" s="1">
        <v>46327</v>
      </c>
      <c r="B354" t="s">
        <v>17</v>
      </c>
      <c r="C354">
        <v>1975.7</v>
      </c>
      <c r="D354">
        <v>76.86</v>
      </c>
      <c r="E354">
        <v>151858</v>
      </c>
      <c r="F354">
        <v>65135</v>
      </c>
      <c r="G354">
        <v>30750</v>
      </c>
      <c r="H354">
        <v>55974</v>
      </c>
      <c r="I354">
        <v>8320</v>
      </c>
      <c r="J354">
        <v>6.5299999999999997E-2</v>
      </c>
      <c r="K354">
        <v>7</v>
      </c>
      <c r="L354">
        <v>0.99029999999999996</v>
      </c>
      <c r="M354" t="s">
        <v>114</v>
      </c>
      <c r="N354" t="s">
        <v>18</v>
      </c>
      <c r="O354" t="s">
        <v>15</v>
      </c>
      <c r="P354" t="s">
        <v>19</v>
      </c>
      <c r="Q354">
        <v>42</v>
      </c>
      <c r="R354" t="s">
        <v>12</v>
      </c>
    </row>
    <row r="355" spans="1:18" x14ac:dyDescent="0.35">
      <c r="A355" s="1">
        <v>46327</v>
      </c>
      <c r="B355" t="s">
        <v>20</v>
      </c>
      <c r="C355">
        <v>22149</v>
      </c>
      <c r="D355">
        <v>57.41</v>
      </c>
      <c r="E355">
        <v>1271474</v>
      </c>
      <c r="F355">
        <v>337760</v>
      </c>
      <c r="G355">
        <v>67600</v>
      </c>
      <c r="H355">
        <v>866114</v>
      </c>
      <c r="I355">
        <v>75600</v>
      </c>
      <c r="J355">
        <v>0.51270000000000004</v>
      </c>
      <c r="K355">
        <v>11</v>
      </c>
      <c r="L355">
        <v>0.98470000000000002</v>
      </c>
      <c r="M355" t="s">
        <v>114</v>
      </c>
      <c r="N355" t="s">
        <v>21</v>
      </c>
      <c r="O355" t="s">
        <v>22</v>
      </c>
      <c r="P355" t="s">
        <v>23</v>
      </c>
      <c r="Q355">
        <v>60</v>
      </c>
      <c r="R355" t="s">
        <v>24</v>
      </c>
    </row>
    <row r="356" spans="1:18" x14ac:dyDescent="0.35">
      <c r="A356" s="1">
        <v>46327</v>
      </c>
      <c r="B356" t="s">
        <v>25</v>
      </c>
      <c r="C356">
        <v>6998.4</v>
      </c>
      <c r="D356">
        <v>118</v>
      </c>
      <c r="E356">
        <v>825811</v>
      </c>
      <c r="F356">
        <v>1068060</v>
      </c>
      <c r="G356">
        <v>100700</v>
      </c>
      <c r="H356">
        <v>-342949</v>
      </c>
      <c r="I356">
        <v>462000</v>
      </c>
      <c r="J356">
        <v>0.48599999999999999</v>
      </c>
      <c r="K356">
        <v>51</v>
      </c>
      <c r="L356">
        <v>0.92920000000000003</v>
      </c>
      <c r="M356" t="s">
        <v>114</v>
      </c>
      <c r="N356" t="s">
        <v>26</v>
      </c>
      <c r="O356" t="s">
        <v>27</v>
      </c>
      <c r="P356" t="s">
        <v>28</v>
      </c>
      <c r="Q356">
        <v>25</v>
      </c>
      <c r="R356" t="s">
        <v>29</v>
      </c>
    </row>
    <row r="357" spans="1:18" x14ac:dyDescent="0.35">
      <c r="A357" s="1">
        <v>46357</v>
      </c>
      <c r="B357" t="s">
        <v>8</v>
      </c>
      <c r="C357">
        <v>66008.800000000003</v>
      </c>
      <c r="D357">
        <v>86.78</v>
      </c>
      <c r="E357">
        <v>5728507</v>
      </c>
      <c r="F357">
        <v>1269466</v>
      </c>
      <c r="G357">
        <v>156000</v>
      </c>
      <c r="H357">
        <v>4303040</v>
      </c>
      <c r="I357">
        <v>64800</v>
      </c>
      <c r="J357">
        <v>0.4929</v>
      </c>
      <c r="K357">
        <v>14</v>
      </c>
      <c r="L357">
        <v>0.98119999999999996</v>
      </c>
      <c r="M357" t="s">
        <v>114</v>
      </c>
      <c r="N357" t="s">
        <v>9</v>
      </c>
      <c r="O357" t="s">
        <v>10</v>
      </c>
      <c r="P357" t="s">
        <v>11</v>
      </c>
      <c r="Q357">
        <v>180</v>
      </c>
      <c r="R357" t="s">
        <v>12</v>
      </c>
    </row>
    <row r="358" spans="1:18" x14ac:dyDescent="0.35">
      <c r="A358" s="1">
        <v>46357</v>
      </c>
      <c r="B358" t="s">
        <v>13</v>
      </c>
      <c r="C358">
        <v>2820.4</v>
      </c>
      <c r="D358">
        <v>82.57</v>
      </c>
      <c r="E358">
        <v>232872</v>
      </c>
      <c r="F358">
        <v>107021</v>
      </c>
      <c r="G358">
        <v>43050</v>
      </c>
      <c r="H358">
        <v>82801</v>
      </c>
      <c r="I358">
        <v>8320</v>
      </c>
      <c r="J358">
        <v>5.0500000000000003E-2</v>
      </c>
      <c r="K358">
        <v>3</v>
      </c>
      <c r="L358">
        <v>0.996</v>
      </c>
      <c r="M358" t="s">
        <v>114</v>
      </c>
      <c r="N358" t="s">
        <v>14</v>
      </c>
      <c r="O358" t="s">
        <v>15</v>
      </c>
      <c r="P358" t="s">
        <v>16</v>
      </c>
      <c r="Q358">
        <v>75</v>
      </c>
      <c r="R358" t="s">
        <v>12</v>
      </c>
    </row>
    <row r="359" spans="1:18" x14ac:dyDescent="0.35">
      <c r="A359" s="1">
        <v>46357</v>
      </c>
      <c r="B359" t="s">
        <v>17</v>
      </c>
      <c r="C359">
        <v>1579.4</v>
      </c>
      <c r="D359">
        <v>82.57</v>
      </c>
      <c r="E359">
        <v>130408</v>
      </c>
      <c r="F359">
        <v>63846</v>
      </c>
      <c r="G359">
        <v>30750</v>
      </c>
      <c r="H359">
        <v>35812</v>
      </c>
      <c r="I359">
        <v>8320</v>
      </c>
      <c r="J359">
        <v>5.0500000000000003E-2</v>
      </c>
      <c r="K359">
        <v>3</v>
      </c>
      <c r="L359">
        <v>0.996</v>
      </c>
      <c r="M359" t="s">
        <v>114</v>
      </c>
      <c r="N359" t="s">
        <v>18</v>
      </c>
      <c r="O359" t="s">
        <v>15</v>
      </c>
      <c r="P359" t="s">
        <v>19</v>
      </c>
      <c r="Q359">
        <v>42</v>
      </c>
      <c r="R359" t="s">
        <v>12</v>
      </c>
    </row>
    <row r="360" spans="1:18" x14ac:dyDescent="0.35">
      <c r="A360" s="1">
        <v>46357</v>
      </c>
      <c r="B360" t="s">
        <v>20</v>
      </c>
      <c r="C360">
        <v>22517</v>
      </c>
      <c r="D360">
        <v>57.99</v>
      </c>
      <c r="E360">
        <v>1305851</v>
      </c>
      <c r="F360">
        <v>339516</v>
      </c>
      <c r="G360">
        <v>67600</v>
      </c>
      <c r="H360">
        <v>898735</v>
      </c>
      <c r="I360">
        <v>75600</v>
      </c>
      <c r="J360">
        <v>0.50439999999999996</v>
      </c>
      <c r="K360">
        <v>11</v>
      </c>
      <c r="L360">
        <v>0.98519999999999996</v>
      </c>
      <c r="M360" t="s">
        <v>114</v>
      </c>
      <c r="N360" t="s">
        <v>21</v>
      </c>
      <c r="O360" t="s">
        <v>22</v>
      </c>
      <c r="P360" t="s">
        <v>23</v>
      </c>
      <c r="Q360">
        <v>60</v>
      </c>
      <c r="R360" t="s">
        <v>24</v>
      </c>
    </row>
    <row r="361" spans="1:18" x14ac:dyDescent="0.35">
      <c r="A361" s="1">
        <v>46357</v>
      </c>
      <c r="B361" t="s">
        <v>25</v>
      </c>
      <c r="C361">
        <v>7231.7</v>
      </c>
      <c r="D361">
        <v>118</v>
      </c>
      <c r="E361">
        <v>853338</v>
      </c>
      <c r="F361">
        <v>1088402</v>
      </c>
      <c r="G361">
        <v>100700</v>
      </c>
      <c r="H361">
        <v>-335764</v>
      </c>
      <c r="I361">
        <v>462000</v>
      </c>
      <c r="J361">
        <v>0.48599999999999999</v>
      </c>
      <c r="K361">
        <v>28</v>
      </c>
      <c r="L361">
        <v>0.96240000000000003</v>
      </c>
      <c r="M361" t="s">
        <v>114</v>
      </c>
      <c r="N361" t="s">
        <v>26</v>
      </c>
      <c r="O361" t="s">
        <v>27</v>
      </c>
      <c r="P361" t="s">
        <v>28</v>
      </c>
      <c r="Q361">
        <v>25</v>
      </c>
      <c r="R361" t="s">
        <v>29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94520-CD06-4FE7-948B-9CBE0D08A63F}">
  <sheetPr codeName="Sheet13"/>
  <dimension ref="A1:H6"/>
  <sheetViews>
    <sheetView showGridLines="0" zoomScaleNormal="100" workbookViewId="0">
      <pane xSplit="1" ySplit="1" topLeftCell="B2" activePane="bottomRight" state="frozen"/>
      <selection activeCell="D3" sqref="D3"/>
      <selection pane="topRight"/>
      <selection pane="bottomLeft"/>
      <selection pane="bottomRight" activeCell="B2" sqref="B2"/>
    </sheetView>
  </sheetViews>
  <sheetFormatPr defaultRowHeight="14.5" x14ac:dyDescent="0.35"/>
  <cols>
    <col min="1" max="1" width="10" style="29" bestFit="1" customWidth="1"/>
    <col min="2" max="2" width="23.453125" style="29" bestFit="1" customWidth="1"/>
    <col min="3" max="3" width="13.6328125" style="29" bestFit="1" customWidth="1"/>
    <col min="4" max="4" width="25.08984375" style="29" bestFit="1" customWidth="1"/>
    <col min="5" max="5" width="14.36328125" style="29" bestFit="1" customWidth="1"/>
    <col min="6" max="6" width="22.81640625" style="29" bestFit="1" customWidth="1"/>
    <col min="7" max="7" width="17.6328125" style="29" bestFit="1" customWidth="1"/>
    <col min="8" max="8" width="13.453125" style="29" bestFit="1" customWidth="1"/>
    <col min="9" max="16384" width="8.7265625" style="29"/>
  </cols>
  <sheetData>
    <row r="1" spans="1:8" x14ac:dyDescent="0.3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</row>
    <row r="2" spans="1:8" x14ac:dyDescent="0.35">
      <c r="A2" s="29" t="s">
        <v>8</v>
      </c>
      <c r="B2" s="29" t="s">
        <v>9</v>
      </c>
      <c r="C2" s="29" t="s">
        <v>10</v>
      </c>
      <c r="D2" s="29" t="s">
        <v>11</v>
      </c>
      <c r="E2" s="29">
        <v>180</v>
      </c>
      <c r="F2" s="30">
        <v>44805</v>
      </c>
      <c r="G2" s="29">
        <v>1</v>
      </c>
      <c r="H2" s="29" t="s">
        <v>12</v>
      </c>
    </row>
    <row r="3" spans="1:8" x14ac:dyDescent="0.35">
      <c r="A3" s="29" t="s">
        <v>13</v>
      </c>
      <c r="B3" s="29" t="s">
        <v>14</v>
      </c>
      <c r="C3" s="29" t="s">
        <v>15</v>
      </c>
      <c r="D3" s="29" t="s">
        <v>16</v>
      </c>
      <c r="E3" s="29">
        <v>75</v>
      </c>
      <c r="F3" s="30">
        <v>45047</v>
      </c>
      <c r="G3" s="29">
        <v>1</v>
      </c>
      <c r="H3" s="29" t="s">
        <v>12</v>
      </c>
    </row>
    <row r="4" spans="1:8" x14ac:dyDescent="0.35">
      <c r="A4" s="29" t="s">
        <v>17</v>
      </c>
      <c r="B4" s="29" t="s">
        <v>18</v>
      </c>
      <c r="C4" s="29" t="s">
        <v>15</v>
      </c>
      <c r="D4" s="29" t="s">
        <v>19</v>
      </c>
      <c r="E4" s="29">
        <v>42</v>
      </c>
      <c r="F4" s="30">
        <v>44348</v>
      </c>
      <c r="G4" s="29">
        <v>1</v>
      </c>
      <c r="H4" s="29" t="s">
        <v>12</v>
      </c>
    </row>
    <row r="5" spans="1:8" x14ac:dyDescent="0.35">
      <c r="A5" s="29" t="s">
        <v>20</v>
      </c>
      <c r="B5" s="29" t="s">
        <v>21</v>
      </c>
      <c r="C5" s="29" t="s">
        <v>22</v>
      </c>
      <c r="D5" s="29" t="s">
        <v>23</v>
      </c>
      <c r="E5" s="29">
        <v>60</v>
      </c>
      <c r="F5" s="30">
        <v>45597</v>
      </c>
      <c r="G5" s="29">
        <v>1</v>
      </c>
      <c r="H5" s="29" t="s">
        <v>24</v>
      </c>
    </row>
    <row r="6" spans="1:8" x14ac:dyDescent="0.35">
      <c r="A6" s="29" t="s">
        <v>25</v>
      </c>
      <c r="B6" s="29" t="s">
        <v>26</v>
      </c>
      <c r="C6" s="29" t="s">
        <v>27</v>
      </c>
      <c r="D6" s="29" t="s">
        <v>28</v>
      </c>
      <c r="E6" s="29">
        <v>25</v>
      </c>
      <c r="F6" s="30">
        <v>45717</v>
      </c>
      <c r="G6" s="29">
        <v>0.8</v>
      </c>
      <c r="H6" s="29" t="s">
        <v>29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902EE-3CCC-4F03-AF73-5FC92C6ED8B2}">
  <sheetPr codeName="Sheet14"/>
  <dimension ref="A1:H13"/>
  <sheetViews>
    <sheetView showGridLines="0" workbookViewId="0">
      <pane xSplit="2" ySplit="1" topLeftCell="C2" activePane="bottomRight" state="frozen"/>
      <selection activeCell="B11" sqref="A2:H13"/>
      <selection pane="topRight"/>
      <selection pane="bottomLeft"/>
      <selection pane="bottomRight" activeCell="C2" sqref="C2"/>
    </sheetView>
  </sheetViews>
  <sheetFormatPr defaultRowHeight="14.5" x14ac:dyDescent="0.35"/>
  <cols>
    <col min="1" max="1" width="10.1796875" bestFit="1" customWidth="1"/>
    <col min="2" max="2" width="13.6328125" bestFit="1" customWidth="1"/>
    <col min="3" max="3" width="12.90625" bestFit="1" customWidth="1"/>
    <col min="4" max="4" width="15.6328125" bestFit="1" customWidth="1"/>
    <col min="5" max="5" width="15.453125" bestFit="1" customWidth="1"/>
    <col min="6" max="6" width="17.90625" bestFit="1" customWidth="1"/>
    <col min="7" max="7" width="21.36328125" bestFit="1" customWidth="1"/>
    <col min="8" max="8" width="38.81640625" bestFit="1" customWidth="1"/>
  </cols>
  <sheetData>
    <row r="1" spans="1:8" x14ac:dyDescent="0.35">
      <c r="A1" t="s">
        <v>90</v>
      </c>
      <c r="B1" t="s">
        <v>2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44</v>
      </c>
    </row>
    <row r="2" spans="1:8" x14ac:dyDescent="0.35">
      <c r="A2" s="29" t="s">
        <v>96</v>
      </c>
      <c r="B2" s="29" t="s">
        <v>10</v>
      </c>
      <c r="C2" s="29">
        <v>0.91800000000000004</v>
      </c>
      <c r="D2" s="29">
        <v>0.92100000000000004</v>
      </c>
      <c r="E2" s="29">
        <v>9.9000000000000005E-2</v>
      </c>
      <c r="F2" s="29">
        <v>1.5</v>
      </c>
      <c r="G2" s="29">
        <v>3</v>
      </c>
      <c r="H2" s="29" t="s">
        <v>97</v>
      </c>
    </row>
    <row r="3" spans="1:8" x14ac:dyDescent="0.35">
      <c r="A3" s="29" t="s">
        <v>96</v>
      </c>
      <c r="B3" s="29" t="s">
        <v>15</v>
      </c>
      <c r="C3" s="29">
        <v>0.86399999999999999</v>
      </c>
      <c r="D3" s="29">
        <v>0.95899999999999996</v>
      </c>
      <c r="E3" s="29">
        <v>8.1000000000000003E-2</v>
      </c>
      <c r="F3" s="29">
        <v>0.875</v>
      </c>
      <c r="G3" s="29">
        <v>3</v>
      </c>
      <c r="H3" s="29" t="s">
        <v>98</v>
      </c>
    </row>
    <row r="4" spans="1:8" x14ac:dyDescent="0.35">
      <c r="A4" s="29" t="s">
        <v>96</v>
      </c>
      <c r="B4" s="29" t="s">
        <v>22</v>
      </c>
      <c r="C4" s="29">
        <v>1.008</v>
      </c>
      <c r="D4" s="29">
        <v>0.996</v>
      </c>
      <c r="E4" s="29">
        <v>9.5000000000000001E-2</v>
      </c>
      <c r="F4" s="29">
        <v>1.3120000000000001</v>
      </c>
      <c r="G4" s="29">
        <v>3</v>
      </c>
      <c r="H4" s="29" t="s">
        <v>99</v>
      </c>
    </row>
    <row r="5" spans="1:8" x14ac:dyDescent="0.35">
      <c r="A5" s="29" t="s">
        <v>96</v>
      </c>
      <c r="B5" s="29" t="s">
        <v>27</v>
      </c>
      <c r="C5" s="29">
        <v>0.9</v>
      </c>
      <c r="D5" s="29">
        <v>0.77100000000000002</v>
      </c>
      <c r="E5" s="29">
        <v>0.108</v>
      </c>
      <c r="F5" s="29">
        <v>1.625</v>
      </c>
      <c r="G5" s="29">
        <v>5</v>
      </c>
      <c r="H5" s="29" t="s">
        <v>100</v>
      </c>
    </row>
    <row r="6" spans="1:8" x14ac:dyDescent="0.35">
      <c r="A6" s="29" t="s">
        <v>101</v>
      </c>
      <c r="B6" s="29" t="s">
        <v>10</v>
      </c>
      <c r="C6" s="29">
        <v>1.02</v>
      </c>
      <c r="D6" s="29">
        <v>0.98</v>
      </c>
      <c r="E6" s="29">
        <v>5.5E-2</v>
      </c>
      <c r="F6" s="29">
        <v>1.2</v>
      </c>
      <c r="G6" s="29">
        <v>1</v>
      </c>
      <c r="H6" s="29" t="s">
        <v>102</v>
      </c>
    </row>
    <row r="7" spans="1:8" x14ac:dyDescent="0.35">
      <c r="A7" s="29" t="s">
        <v>101</v>
      </c>
      <c r="B7" s="29" t="s">
        <v>15</v>
      </c>
      <c r="C7" s="29">
        <v>0.96</v>
      </c>
      <c r="D7" s="29">
        <v>1.02</v>
      </c>
      <c r="E7" s="29">
        <v>4.4999999999999998E-2</v>
      </c>
      <c r="F7" s="29">
        <v>0.7</v>
      </c>
      <c r="G7" s="29">
        <v>1</v>
      </c>
      <c r="H7" s="29" t="s">
        <v>103</v>
      </c>
    </row>
    <row r="8" spans="1:8" x14ac:dyDescent="0.35">
      <c r="A8" s="29" t="s">
        <v>101</v>
      </c>
      <c r="B8" s="29" t="s">
        <v>22</v>
      </c>
      <c r="C8" s="29">
        <v>1.1200000000000001</v>
      </c>
      <c r="D8" s="29">
        <v>1.06</v>
      </c>
      <c r="E8" s="29">
        <v>5.2999999999999999E-2</v>
      </c>
      <c r="F8" s="29">
        <v>1.05</v>
      </c>
      <c r="G8" s="29">
        <v>1</v>
      </c>
      <c r="H8" s="29" t="s">
        <v>104</v>
      </c>
    </row>
    <row r="9" spans="1:8" x14ac:dyDescent="0.35">
      <c r="A9" s="29" t="s">
        <v>101</v>
      </c>
      <c r="B9" s="29" t="s">
        <v>27</v>
      </c>
      <c r="C9" s="29">
        <v>1</v>
      </c>
      <c r="D9" s="29">
        <v>0.82</v>
      </c>
      <c r="E9" s="29">
        <v>0.06</v>
      </c>
      <c r="F9" s="29">
        <v>1.3</v>
      </c>
      <c r="G9" s="29">
        <v>1</v>
      </c>
      <c r="H9" s="29" t="s">
        <v>105</v>
      </c>
    </row>
    <row r="10" spans="1:8" x14ac:dyDescent="0.35">
      <c r="A10" s="29" t="s">
        <v>106</v>
      </c>
      <c r="B10" s="29" t="s">
        <v>10</v>
      </c>
      <c r="C10" s="29">
        <v>1.1020000000000001</v>
      </c>
      <c r="D10" s="29">
        <v>1.0189999999999999</v>
      </c>
      <c r="E10" s="29">
        <v>3.9E-2</v>
      </c>
      <c r="F10" s="29">
        <v>1.02</v>
      </c>
      <c r="G10" s="29">
        <v>0</v>
      </c>
      <c r="H10" s="29" t="s">
        <v>107</v>
      </c>
    </row>
    <row r="11" spans="1:8" x14ac:dyDescent="0.35">
      <c r="A11" s="29" t="s">
        <v>106</v>
      </c>
      <c r="B11" s="29" t="s">
        <v>15</v>
      </c>
      <c r="C11" s="29">
        <v>1.0369999999999999</v>
      </c>
      <c r="D11" s="29">
        <v>1.0609999999999999</v>
      </c>
      <c r="E11" s="29">
        <v>3.2000000000000001E-2</v>
      </c>
      <c r="F11" s="29">
        <v>0.59499999999999997</v>
      </c>
      <c r="G11" s="29">
        <v>0</v>
      </c>
      <c r="H11" s="29" t="s">
        <v>108</v>
      </c>
    </row>
    <row r="12" spans="1:8" x14ac:dyDescent="0.35">
      <c r="A12" s="29" t="s">
        <v>106</v>
      </c>
      <c r="B12" s="29" t="s">
        <v>22</v>
      </c>
      <c r="C12" s="29">
        <v>1.21</v>
      </c>
      <c r="D12" s="29">
        <v>1.1020000000000001</v>
      </c>
      <c r="E12" s="29">
        <v>3.6999999999999998E-2</v>
      </c>
      <c r="F12" s="29">
        <v>0.89200000000000002</v>
      </c>
      <c r="G12" s="29">
        <v>0</v>
      </c>
      <c r="H12" s="29" t="s">
        <v>109</v>
      </c>
    </row>
    <row r="13" spans="1:8" x14ac:dyDescent="0.35">
      <c r="A13" s="29" t="s">
        <v>106</v>
      </c>
      <c r="B13" s="29" t="s">
        <v>27</v>
      </c>
      <c r="C13" s="29">
        <v>1.08</v>
      </c>
      <c r="D13" s="29">
        <v>0.85299999999999998</v>
      </c>
      <c r="E13" s="29">
        <v>4.2000000000000003E-2</v>
      </c>
      <c r="F13" s="29">
        <v>1.105</v>
      </c>
      <c r="G13" s="29">
        <v>0</v>
      </c>
      <c r="H13" s="29" t="s">
        <v>110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FE3A5-5796-4777-B285-1BF36B5A4899}">
  <sheetPr codeName="Sheet15"/>
  <dimension ref="A1:F721"/>
  <sheetViews>
    <sheetView showGridLines="0" workbookViewId="0">
      <pane xSplit="1" ySplit="1" topLeftCell="B2" activePane="bottomRight" state="frozen"/>
      <selection activeCell="F26" sqref="F26"/>
      <selection pane="topRight"/>
      <selection pane="bottomLeft"/>
      <selection pane="bottomRight" activeCell="B2" sqref="B2"/>
    </sheetView>
  </sheetViews>
  <sheetFormatPr defaultRowHeight="14.5" x14ac:dyDescent="0.35"/>
  <cols>
    <col min="1" max="1" width="10.54296875" bestFit="1" customWidth="1"/>
    <col min="2" max="2" width="10" bestFit="1" customWidth="1"/>
    <col min="3" max="3" width="15.08984375" bestFit="1" customWidth="1"/>
    <col min="4" max="4" width="34.453125" bestFit="1" customWidth="1"/>
    <col min="5" max="5" width="14.08984375" bestFit="1" customWidth="1"/>
    <col min="6" max="6" width="72.1796875" bestFit="1" customWidth="1"/>
  </cols>
  <sheetData>
    <row r="1" spans="1:6" x14ac:dyDescent="0.35">
      <c r="A1" t="s">
        <v>30</v>
      </c>
      <c r="B1" t="s">
        <v>0</v>
      </c>
      <c r="C1" t="s">
        <v>41</v>
      </c>
      <c r="D1" t="s">
        <v>42</v>
      </c>
      <c r="E1" t="s">
        <v>43</v>
      </c>
      <c r="F1" t="s">
        <v>44</v>
      </c>
    </row>
    <row r="2" spans="1:6" x14ac:dyDescent="0.35">
      <c r="A2" s="30">
        <v>45658</v>
      </c>
      <c r="B2" s="29" t="s">
        <v>8</v>
      </c>
      <c r="C2" s="29" t="s">
        <v>45</v>
      </c>
      <c r="D2" s="29" t="s">
        <v>46</v>
      </c>
      <c r="E2" s="29">
        <v>-604157</v>
      </c>
      <c r="F2" s="29" t="s">
        <v>47</v>
      </c>
    </row>
    <row r="3" spans="1:6" x14ac:dyDescent="0.35">
      <c r="A3" s="30">
        <v>45658</v>
      </c>
      <c r="B3" s="29" t="s">
        <v>8</v>
      </c>
      <c r="C3" s="29" t="s">
        <v>48</v>
      </c>
      <c r="D3" s="29" t="s">
        <v>49</v>
      </c>
      <c r="E3" s="29">
        <v>-320804</v>
      </c>
      <c r="F3" s="29" t="s">
        <v>50</v>
      </c>
    </row>
    <row r="4" spans="1:6" x14ac:dyDescent="0.35">
      <c r="A4" s="30">
        <v>45658</v>
      </c>
      <c r="B4" s="29" t="s">
        <v>8</v>
      </c>
      <c r="C4" s="29" t="s">
        <v>51</v>
      </c>
      <c r="D4" s="29" t="s">
        <v>52</v>
      </c>
      <c r="E4" s="29">
        <v>0</v>
      </c>
      <c r="F4" s="29" t="s">
        <v>53</v>
      </c>
    </row>
    <row r="5" spans="1:6" x14ac:dyDescent="0.35">
      <c r="A5" s="30">
        <v>45658</v>
      </c>
      <c r="B5" s="29" t="s">
        <v>8</v>
      </c>
      <c r="C5" s="29" t="s">
        <v>54</v>
      </c>
      <c r="D5" s="29" t="s">
        <v>55</v>
      </c>
      <c r="E5" s="29">
        <v>0</v>
      </c>
      <c r="F5" s="29" t="s">
        <v>56</v>
      </c>
    </row>
    <row r="6" spans="1:6" x14ac:dyDescent="0.35">
      <c r="A6" s="30">
        <v>45658</v>
      </c>
      <c r="B6" s="29" t="s">
        <v>8</v>
      </c>
      <c r="C6" s="29" t="s">
        <v>57</v>
      </c>
      <c r="D6" s="29" t="s">
        <v>58</v>
      </c>
      <c r="E6" s="29">
        <v>-66346</v>
      </c>
      <c r="F6" s="29" t="s">
        <v>59</v>
      </c>
    </row>
    <row r="7" spans="1:6" x14ac:dyDescent="0.35">
      <c r="A7" s="30">
        <v>45658</v>
      </c>
      <c r="B7" s="29" t="s">
        <v>8</v>
      </c>
      <c r="C7" s="29" t="s">
        <v>60</v>
      </c>
      <c r="D7" s="29" t="s">
        <v>61</v>
      </c>
      <c r="E7" s="29">
        <v>-5898</v>
      </c>
      <c r="F7" s="29" t="s">
        <v>62</v>
      </c>
    </row>
    <row r="8" spans="1:6" x14ac:dyDescent="0.35">
      <c r="A8" s="30">
        <v>45658</v>
      </c>
      <c r="B8" s="29" t="s">
        <v>13</v>
      </c>
      <c r="C8" s="29" t="s">
        <v>45</v>
      </c>
      <c r="D8" s="29" t="s">
        <v>63</v>
      </c>
      <c r="E8" s="29">
        <v>3635</v>
      </c>
      <c r="F8" s="29" t="s">
        <v>47</v>
      </c>
    </row>
    <row r="9" spans="1:6" x14ac:dyDescent="0.35">
      <c r="A9" s="30">
        <v>45658</v>
      </c>
      <c r="B9" s="29" t="s">
        <v>13</v>
      </c>
      <c r="C9" s="29" t="s">
        <v>48</v>
      </c>
      <c r="D9" s="29" t="s">
        <v>64</v>
      </c>
      <c r="E9" s="29">
        <v>8491</v>
      </c>
      <c r="F9" s="29" t="s">
        <v>50</v>
      </c>
    </row>
    <row r="10" spans="1:6" x14ac:dyDescent="0.35">
      <c r="A10" s="30">
        <v>45658</v>
      </c>
      <c r="B10" s="29" t="s">
        <v>13</v>
      </c>
      <c r="C10" s="29" t="s">
        <v>51</v>
      </c>
      <c r="D10" s="29" t="s">
        <v>65</v>
      </c>
      <c r="E10" s="29">
        <v>0</v>
      </c>
      <c r="F10" s="29" t="s">
        <v>53</v>
      </c>
    </row>
    <row r="11" spans="1:6" x14ac:dyDescent="0.35">
      <c r="A11" s="30">
        <v>45658</v>
      </c>
      <c r="B11" s="29" t="s">
        <v>13</v>
      </c>
      <c r="C11" s="29" t="s">
        <v>54</v>
      </c>
      <c r="D11" s="29" t="s">
        <v>66</v>
      </c>
      <c r="E11" s="29">
        <v>0</v>
      </c>
      <c r="F11" s="29" t="s">
        <v>56</v>
      </c>
    </row>
    <row r="12" spans="1:6" x14ac:dyDescent="0.35">
      <c r="A12" s="30">
        <v>45658</v>
      </c>
      <c r="B12" s="29" t="s">
        <v>13</v>
      </c>
      <c r="C12" s="29" t="s">
        <v>57</v>
      </c>
      <c r="D12" s="29" t="s">
        <v>67</v>
      </c>
      <c r="E12" s="29">
        <v>-1636</v>
      </c>
      <c r="F12" s="29" t="s">
        <v>59</v>
      </c>
    </row>
    <row r="13" spans="1:6" x14ac:dyDescent="0.35">
      <c r="A13" s="30">
        <v>45658</v>
      </c>
      <c r="B13" s="29" t="s">
        <v>13</v>
      </c>
      <c r="C13" s="29" t="s">
        <v>60</v>
      </c>
      <c r="D13" s="29" t="s">
        <v>68</v>
      </c>
      <c r="E13" s="29">
        <v>-1041</v>
      </c>
      <c r="F13" s="29" t="s">
        <v>62</v>
      </c>
    </row>
    <row r="14" spans="1:6" x14ac:dyDescent="0.35">
      <c r="A14" s="30">
        <v>45658</v>
      </c>
      <c r="B14" s="29" t="s">
        <v>17</v>
      </c>
      <c r="C14" s="29" t="s">
        <v>45</v>
      </c>
      <c r="D14" s="29" t="s">
        <v>69</v>
      </c>
      <c r="E14" s="29">
        <v>-3691</v>
      </c>
      <c r="F14" s="29" t="s">
        <v>47</v>
      </c>
    </row>
    <row r="15" spans="1:6" x14ac:dyDescent="0.35">
      <c r="A15" s="30">
        <v>45658</v>
      </c>
      <c r="B15" s="29" t="s">
        <v>17</v>
      </c>
      <c r="C15" s="29" t="s">
        <v>48</v>
      </c>
      <c r="D15" s="29" t="s">
        <v>70</v>
      </c>
      <c r="E15" s="29">
        <v>-3732</v>
      </c>
      <c r="F15" s="29" t="s">
        <v>50</v>
      </c>
    </row>
    <row r="16" spans="1:6" x14ac:dyDescent="0.35">
      <c r="A16" s="30">
        <v>45658</v>
      </c>
      <c r="B16" s="29" t="s">
        <v>17</v>
      </c>
      <c r="C16" s="29" t="s">
        <v>51</v>
      </c>
      <c r="D16" s="29" t="s">
        <v>71</v>
      </c>
      <c r="E16" s="29">
        <v>0</v>
      </c>
      <c r="F16" s="29" t="s">
        <v>53</v>
      </c>
    </row>
    <row r="17" spans="1:6" x14ac:dyDescent="0.35">
      <c r="A17" s="30">
        <v>45658</v>
      </c>
      <c r="B17" s="29" t="s">
        <v>17</v>
      </c>
      <c r="C17" s="29" t="s">
        <v>54</v>
      </c>
      <c r="D17" s="29" t="s">
        <v>72</v>
      </c>
      <c r="E17" s="29">
        <v>0</v>
      </c>
      <c r="F17" s="29" t="s">
        <v>56</v>
      </c>
    </row>
    <row r="18" spans="1:6" x14ac:dyDescent="0.35">
      <c r="A18" s="30">
        <v>45658</v>
      </c>
      <c r="B18" s="29" t="s">
        <v>17</v>
      </c>
      <c r="C18" s="29" t="s">
        <v>57</v>
      </c>
      <c r="D18" s="29" t="s">
        <v>73</v>
      </c>
      <c r="E18" s="29">
        <v>-1941</v>
      </c>
      <c r="F18" s="29" t="s">
        <v>59</v>
      </c>
    </row>
    <row r="19" spans="1:6" x14ac:dyDescent="0.35">
      <c r="A19" s="30">
        <v>45658</v>
      </c>
      <c r="B19" s="29" t="s">
        <v>17</v>
      </c>
      <c r="C19" s="29" t="s">
        <v>60</v>
      </c>
      <c r="D19" s="29" t="s">
        <v>74</v>
      </c>
      <c r="E19" s="29">
        <v>-759</v>
      </c>
      <c r="F19" s="29" t="s">
        <v>62</v>
      </c>
    </row>
    <row r="20" spans="1:6" x14ac:dyDescent="0.35">
      <c r="A20" s="30">
        <v>45658</v>
      </c>
      <c r="B20" s="29" t="s">
        <v>20</v>
      </c>
      <c r="C20" s="29" t="s">
        <v>45</v>
      </c>
      <c r="D20" s="29" t="s">
        <v>75</v>
      </c>
      <c r="E20" s="29">
        <v>2316</v>
      </c>
      <c r="F20" s="29" t="s">
        <v>47</v>
      </c>
    </row>
    <row r="21" spans="1:6" x14ac:dyDescent="0.35">
      <c r="A21" s="30">
        <v>45658</v>
      </c>
      <c r="B21" s="29" t="s">
        <v>20</v>
      </c>
      <c r="C21" s="29" t="s">
        <v>48</v>
      </c>
      <c r="D21" s="29" t="s">
        <v>76</v>
      </c>
      <c r="E21" s="29">
        <v>-21083</v>
      </c>
      <c r="F21" s="29" t="s">
        <v>50</v>
      </c>
    </row>
    <row r="22" spans="1:6" x14ac:dyDescent="0.35">
      <c r="A22" s="30">
        <v>45658</v>
      </c>
      <c r="B22" s="29" t="s">
        <v>20</v>
      </c>
      <c r="C22" s="29" t="s">
        <v>51</v>
      </c>
      <c r="D22" s="29" t="s">
        <v>77</v>
      </c>
      <c r="E22" s="29">
        <v>0</v>
      </c>
      <c r="F22" s="29" t="s">
        <v>53</v>
      </c>
    </row>
    <row r="23" spans="1:6" x14ac:dyDescent="0.35">
      <c r="A23" s="30">
        <v>45658</v>
      </c>
      <c r="B23" s="29" t="s">
        <v>20</v>
      </c>
      <c r="C23" s="29" t="s">
        <v>54</v>
      </c>
      <c r="D23" s="29" t="s">
        <v>78</v>
      </c>
      <c r="E23" s="29">
        <v>-49194</v>
      </c>
      <c r="F23" s="29" t="s">
        <v>79</v>
      </c>
    </row>
    <row r="24" spans="1:6" x14ac:dyDescent="0.35">
      <c r="A24" s="30">
        <v>45658</v>
      </c>
      <c r="B24" s="29" t="s">
        <v>20</v>
      </c>
      <c r="C24" s="29" t="s">
        <v>57</v>
      </c>
      <c r="D24" s="29" t="s">
        <v>80</v>
      </c>
      <c r="E24" s="29">
        <v>-28354</v>
      </c>
      <c r="F24" s="29" t="s">
        <v>59</v>
      </c>
    </row>
    <row r="25" spans="1:6" x14ac:dyDescent="0.35">
      <c r="A25" s="30">
        <v>45658</v>
      </c>
      <c r="B25" s="29" t="s">
        <v>20</v>
      </c>
      <c r="C25" s="29" t="s">
        <v>60</v>
      </c>
      <c r="D25" s="29" t="s">
        <v>81</v>
      </c>
      <c r="E25" s="29">
        <v>-2630</v>
      </c>
      <c r="F25" s="29" t="s">
        <v>62</v>
      </c>
    </row>
    <row r="26" spans="1:6" x14ac:dyDescent="0.35">
      <c r="A26" s="30">
        <v>45658</v>
      </c>
      <c r="B26" s="29" t="s">
        <v>25</v>
      </c>
      <c r="C26" s="29" t="s">
        <v>45</v>
      </c>
      <c r="D26" s="29" t="s">
        <v>82</v>
      </c>
      <c r="E26" s="29">
        <v>-781</v>
      </c>
      <c r="F26" s="29" t="s">
        <v>47</v>
      </c>
    </row>
    <row r="27" spans="1:6" x14ac:dyDescent="0.35">
      <c r="A27" s="30">
        <v>45658</v>
      </c>
      <c r="B27" s="29" t="s">
        <v>25</v>
      </c>
      <c r="C27" s="29" t="s">
        <v>48</v>
      </c>
      <c r="D27" s="29" t="s">
        <v>83</v>
      </c>
      <c r="E27" s="29">
        <v>-34834</v>
      </c>
      <c r="F27" s="29" t="s">
        <v>50</v>
      </c>
    </row>
    <row r="28" spans="1:6" x14ac:dyDescent="0.35">
      <c r="A28" s="30">
        <v>45658</v>
      </c>
      <c r="B28" s="29" t="s">
        <v>25</v>
      </c>
      <c r="C28" s="29" t="s">
        <v>51</v>
      </c>
      <c r="D28" s="29" t="s">
        <v>84</v>
      </c>
      <c r="E28" s="29">
        <v>0</v>
      </c>
      <c r="F28" s="29" t="s">
        <v>53</v>
      </c>
    </row>
    <row r="29" spans="1:6" x14ac:dyDescent="0.35">
      <c r="A29" s="30">
        <v>45658</v>
      </c>
      <c r="B29" s="29" t="s">
        <v>25</v>
      </c>
      <c r="C29" s="29" t="s">
        <v>54</v>
      </c>
      <c r="D29" s="29" t="s">
        <v>85</v>
      </c>
      <c r="E29" s="29">
        <v>-81278</v>
      </c>
      <c r="F29" s="29" t="s">
        <v>86</v>
      </c>
    </row>
    <row r="30" spans="1:6" x14ac:dyDescent="0.35">
      <c r="A30" s="30">
        <v>45658</v>
      </c>
      <c r="B30" s="29" t="s">
        <v>25</v>
      </c>
      <c r="C30" s="29" t="s">
        <v>57</v>
      </c>
      <c r="D30" s="29" t="s">
        <v>87</v>
      </c>
      <c r="E30" s="29">
        <v>-155827</v>
      </c>
      <c r="F30" s="29" t="s">
        <v>59</v>
      </c>
    </row>
    <row r="31" spans="1:6" x14ac:dyDescent="0.35">
      <c r="A31" s="30">
        <v>45658</v>
      </c>
      <c r="B31" s="29" t="s">
        <v>25</v>
      </c>
      <c r="C31" s="29" t="s">
        <v>60</v>
      </c>
      <c r="D31" s="29" t="s">
        <v>88</v>
      </c>
      <c r="E31" s="29">
        <v>-5689</v>
      </c>
      <c r="F31" s="29" t="s">
        <v>62</v>
      </c>
    </row>
    <row r="32" spans="1:6" x14ac:dyDescent="0.35">
      <c r="A32" s="30">
        <v>45689</v>
      </c>
      <c r="B32" s="29" t="s">
        <v>8</v>
      </c>
      <c r="C32" s="29" t="s">
        <v>45</v>
      </c>
      <c r="D32" s="29" t="s">
        <v>46</v>
      </c>
      <c r="E32" s="29">
        <v>-504313</v>
      </c>
      <c r="F32" s="29" t="s">
        <v>47</v>
      </c>
    </row>
    <row r="33" spans="1:6" x14ac:dyDescent="0.35">
      <c r="A33" s="30">
        <v>45689</v>
      </c>
      <c r="B33" s="29" t="s">
        <v>8</v>
      </c>
      <c r="C33" s="29" t="s">
        <v>48</v>
      </c>
      <c r="D33" s="29" t="s">
        <v>49</v>
      </c>
      <c r="E33" s="29">
        <v>73454</v>
      </c>
      <c r="F33" s="29" t="s">
        <v>50</v>
      </c>
    </row>
    <row r="34" spans="1:6" x14ac:dyDescent="0.35">
      <c r="A34" s="30">
        <v>45689</v>
      </c>
      <c r="B34" s="29" t="s">
        <v>8</v>
      </c>
      <c r="C34" s="29" t="s">
        <v>51</v>
      </c>
      <c r="D34" s="29" t="s">
        <v>52</v>
      </c>
      <c r="E34" s="29">
        <v>0</v>
      </c>
      <c r="F34" s="29" t="s">
        <v>53</v>
      </c>
    </row>
    <row r="35" spans="1:6" x14ac:dyDescent="0.35">
      <c r="A35" s="30">
        <v>45689</v>
      </c>
      <c r="B35" s="29" t="s">
        <v>8</v>
      </c>
      <c r="C35" s="29" t="s">
        <v>54</v>
      </c>
      <c r="D35" s="29" t="s">
        <v>55</v>
      </c>
      <c r="E35" s="29">
        <v>0</v>
      </c>
      <c r="F35" s="29" t="s">
        <v>56</v>
      </c>
    </row>
    <row r="36" spans="1:6" x14ac:dyDescent="0.35">
      <c r="A36" s="30">
        <v>45689</v>
      </c>
      <c r="B36" s="29" t="s">
        <v>8</v>
      </c>
      <c r="C36" s="29" t="s">
        <v>57</v>
      </c>
      <c r="D36" s="29" t="s">
        <v>58</v>
      </c>
      <c r="E36" s="29">
        <v>-58091</v>
      </c>
      <c r="F36" s="29" t="s">
        <v>59</v>
      </c>
    </row>
    <row r="37" spans="1:6" x14ac:dyDescent="0.35">
      <c r="A37" s="30">
        <v>45689</v>
      </c>
      <c r="B37" s="29" t="s">
        <v>8</v>
      </c>
      <c r="C37" s="29" t="s">
        <v>60</v>
      </c>
      <c r="D37" s="29" t="s">
        <v>61</v>
      </c>
      <c r="E37" s="29">
        <v>-5744</v>
      </c>
      <c r="F37" s="29" t="s">
        <v>62</v>
      </c>
    </row>
    <row r="38" spans="1:6" x14ac:dyDescent="0.35">
      <c r="A38" s="30">
        <v>45689</v>
      </c>
      <c r="B38" s="29" t="s">
        <v>13</v>
      </c>
      <c r="C38" s="29" t="s">
        <v>45</v>
      </c>
      <c r="D38" s="29" t="s">
        <v>63</v>
      </c>
      <c r="E38" s="29">
        <v>-5401</v>
      </c>
      <c r="F38" s="29" t="s">
        <v>47</v>
      </c>
    </row>
    <row r="39" spans="1:6" x14ac:dyDescent="0.35">
      <c r="A39" s="30">
        <v>45689</v>
      </c>
      <c r="B39" s="29" t="s">
        <v>13</v>
      </c>
      <c r="C39" s="29" t="s">
        <v>48</v>
      </c>
      <c r="D39" s="29" t="s">
        <v>64</v>
      </c>
      <c r="E39" s="29">
        <v>-8003</v>
      </c>
      <c r="F39" s="29" t="s">
        <v>50</v>
      </c>
    </row>
    <row r="40" spans="1:6" x14ac:dyDescent="0.35">
      <c r="A40" s="30">
        <v>45689</v>
      </c>
      <c r="B40" s="29" t="s">
        <v>13</v>
      </c>
      <c r="C40" s="29" t="s">
        <v>51</v>
      </c>
      <c r="D40" s="29" t="s">
        <v>65</v>
      </c>
      <c r="E40" s="29">
        <v>-963</v>
      </c>
      <c r="F40" s="29" t="s">
        <v>53</v>
      </c>
    </row>
    <row r="41" spans="1:6" x14ac:dyDescent="0.35">
      <c r="A41" s="30">
        <v>45689</v>
      </c>
      <c r="B41" s="29" t="s">
        <v>13</v>
      </c>
      <c r="C41" s="29" t="s">
        <v>54</v>
      </c>
      <c r="D41" s="29" t="s">
        <v>66</v>
      </c>
      <c r="E41" s="29">
        <v>0</v>
      </c>
      <c r="F41" s="29" t="s">
        <v>56</v>
      </c>
    </row>
    <row r="42" spans="1:6" x14ac:dyDescent="0.35">
      <c r="A42" s="30">
        <v>45689</v>
      </c>
      <c r="B42" s="29" t="s">
        <v>13</v>
      </c>
      <c r="C42" s="29" t="s">
        <v>57</v>
      </c>
      <c r="D42" s="29" t="s">
        <v>67</v>
      </c>
      <c r="E42" s="29">
        <v>-2562</v>
      </c>
      <c r="F42" s="29" t="s">
        <v>59</v>
      </c>
    </row>
    <row r="43" spans="1:6" x14ac:dyDescent="0.35">
      <c r="A43" s="30">
        <v>45689</v>
      </c>
      <c r="B43" s="29" t="s">
        <v>13</v>
      </c>
      <c r="C43" s="29" t="s">
        <v>60</v>
      </c>
      <c r="D43" s="29" t="s">
        <v>68</v>
      </c>
      <c r="E43" s="29">
        <v>-1066</v>
      </c>
      <c r="F43" s="29" t="s">
        <v>62</v>
      </c>
    </row>
    <row r="44" spans="1:6" x14ac:dyDescent="0.35">
      <c r="A44" s="30">
        <v>45689</v>
      </c>
      <c r="B44" s="29" t="s">
        <v>17</v>
      </c>
      <c r="C44" s="29" t="s">
        <v>45</v>
      </c>
      <c r="D44" s="29" t="s">
        <v>69</v>
      </c>
      <c r="E44" s="29">
        <v>723</v>
      </c>
      <c r="F44" s="29" t="s">
        <v>47</v>
      </c>
    </row>
    <row r="45" spans="1:6" x14ac:dyDescent="0.35">
      <c r="A45" s="30">
        <v>45689</v>
      </c>
      <c r="B45" s="29" t="s">
        <v>17</v>
      </c>
      <c r="C45" s="29" t="s">
        <v>48</v>
      </c>
      <c r="D45" s="29" t="s">
        <v>70</v>
      </c>
      <c r="E45" s="29">
        <v>8251</v>
      </c>
      <c r="F45" s="29" t="s">
        <v>50</v>
      </c>
    </row>
    <row r="46" spans="1:6" x14ac:dyDescent="0.35">
      <c r="A46" s="30">
        <v>45689</v>
      </c>
      <c r="B46" s="29" t="s">
        <v>17</v>
      </c>
      <c r="C46" s="29" t="s">
        <v>51</v>
      </c>
      <c r="D46" s="29" t="s">
        <v>71</v>
      </c>
      <c r="E46" s="29">
        <v>-539</v>
      </c>
      <c r="F46" s="29" t="s">
        <v>53</v>
      </c>
    </row>
    <row r="47" spans="1:6" x14ac:dyDescent="0.35">
      <c r="A47" s="30">
        <v>45689</v>
      </c>
      <c r="B47" s="29" t="s">
        <v>17</v>
      </c>
      <c r="C47" s="29" t="s">
        <v>54</v>
      </c>
      <c r="D47" s="29" t="s">
        <v>72</v>
      </c>
      <c r="E47" s="29">
        <v>0</v>
      </c>
      <c r="F47" s="29" t="s">
        <v>56</v>
      </c>
    </row>
    <row r="48" spans="1:6" x14ac:dyDescent="0.35">
      <c r="A48" s="30">
        <v>45689</v>
      </c>
      <c r="B48" s="29" t="s">
        <v>17</v>
      </c>
      <c r="C48" s="29" t="s">
        <v>57</v>
      </c>
      <c r="D48" s="29" t="s">
        <v>73</v>
      </c>
      <c r="E48" s="29">
        <v>-1866</v>
      </c>
      <c r="F48" s="29" t="s">
        <v>59</v>
      </c>
    </row>
    <row r="49" spans="1:6" x14ac:dyDescent="0.35">
      <c r="A49" s="30">
        <v>45689</v>
      </c>
      <c r="B49" s="29" t="s">
        <v>17</v>
      </c>
      <c r="C49" s="29" t="s">
        <v>60</v>
      </c>
      <c r="D49" s="29" t="s">
        <v>74</v>
      </c>
      <c r="E49" s="29">
        <v>-753</v>
      </c>
      <c r="F49" s="29" t="s">
        <v>62</v>
      </c>
    </row>
    <row r="50" spans="1:6" x14ac:dyDescent="0.35">
      <c r="A50" s="30">
        <v>45689</v>
      </c>
      <c r="B50" s="29" t="s">
        <v>20</v>
      </c>
      <c r="C50" s="29" t="s">
        <v>45</v>
      </c>
      <c r="D50" s="29" t="s">
        <v>75</v>
      </c>
      <c r="E50" s="29">
        <v>-6312</v>
      </c>
      <c r="F50" s="29" t="s">
        <v>47</v>
      </c>
    </row>
    <row r="51" spans="1:6" x14ac:dyDescent="0.35">
      <c r="A51" s="30">
        <v>45689</v>
      </c>
      <c r="B51" s="29" t="s">
        <v>20</v>
      </c>
      <c r="C51" s="29" t="s">
        <v>48</v>
      </c>
      <c r="D51" s="29" t="s">
        <v>76</v>
      </c>
      <c r="E51" s="29">
        <v>-25523</v>
      </c>
      <c r="F51" s="29" t="s">
        <v>50</v>
      </c>
    </row>
    <row r="52" spans="1:6" x14ac:dyDescent="0.35">
      <c r="A52" s="30">
        <v>45689</v>
      </c>
      <c r="B52" s="29" t="s">
        <v>20</v>
      </c>
      <c r="C52" s="29" t="s">
        <v>51</v>
      </c>
      <c r="D52" s="29" t="s">
        <v>77</v>
      </c>
      <c r="E52" s="29">
        <v>0</v>
      </c>
      <c r="F52" s="29" t="s">
        <v>53</v>
      </c>
    </row>
    <row r="53" spans="1:6" x14ac:dyDescent="0.35">
      <c r="A53" s="30">
        <v>45689</v>
      </c>
      <c r="B53" s="29" t="s">
        <v>20</v>
      </c>
      <c r="C53" s="29" t="s">
        <v>54</v>
      </c>
      <c r="D53" s="29" t="s">
        <v>78</v>
      </c>
      <c r="E53" s="29">
        <v>-59553</v>
      </c>
      <c r="F53" s="29" t="s">
        <v>79</v>
      </c>
    </row>
    <row r="54" spans="1:6" x14ac:dyDescent="0.35">
      <c r="A54" s="30">
        <v>45689</v>
      </c>
      <c r="B54" s="29" t="s">
        <v>20</v>
      </c>
      <c r="C54" s="29" t="s">
        <v>57</v>
      </c>
      <c r="D54" s="29" t="s">
        <v>80</v>
      </c>
      <c r="E54" s="29">
        <v>-73521</v>
      </c>
      <c r="F54" s="29" t="s">
        <v>59</v>
      </c>
    </row>
    <row r="55" spans="1:6" x14ac:dyDescent="0.35">
      <c r="A55" s="30">
        <v>45689</v>
      </c>
      <c r="B55" s="29" t="s">
        <v>20</v>
      </c>
      <c r="C55" s="29" t="s">
        <v>60</v>
      </c>
      <c r="D55" s="29" t="s">
        <v>81</v>
      </c>
      <c r="E55" s="29">
        <v>-2557</v>
      </c>
      <c r="F55" s="29" t="s">
        <v>62</v>
      </c>
    </row>
    <row r="56" spans="1:6" x14ac:dyDescent="0.35">
      <c r="A56" s="30">
        <v>45689</v>
      </c>
      <c r="B56" s="29" t="s">
        <v>25</v>
      </c>
      <c r="C56" s="29" t="s">
        <v>45</v>
      </c>
      <c r="D56" s="29" t="s">
        <v>82</v>
      </c>
      <c r="E56" s="29">
        <v>-62</v>
      </c>
      <c r="F56" s="29" t="s">
        <v>47</v>
      </c>
    </row>
    <row r="57" spans="1:6" x14ac:dyDescent="0.35">
      <c r="A57" s="30">
        <v>45689</v>
      </c>
      <c r="B57" s="29" t="s">
        <v>25</v>
      </c>
      <c r="C57" s="29" t="s">
        <v>48</v>
      </c>
      <c r="D57" s="29" t="s">
        <v>83</v>
      </c>
      <c r="E57" s="29">
        <v>-32536</v>
      </c>
      <c r="F57" s="29" t="s">
        <v>50</v>
      </c>
    </row>
    <row r="58" spans="1:6" x14ac:dyDescent="0.35">
      <c r="A58" s="30">
        <v>45689</v>
      </c>
      <c r="B58" s="29" t="s">
        <v>25</v>
      </c>
      <c r="C58" s="29" t="s">
        <v>51</v>
      </c>
      <c r="D58" s="29" t="s">
        <v>84</v>
      </c>
      <c r="E58" s="29">
        <v>0</v>
      </c>
      <c r="F58" s="29" t="s">
        <v>53</v>
      </c>
    </row>
    <row r="59" spans="1:6" x14ac:dyDescent="0.35">
      <c r="A59" s="30">
        <v>45689</v>
      </c>
      <c r="B59" s="29" t="s">
        <v>25</v>
      </c>
      <c r="C59" s="29" t="s">
        <v>54</v>
      </c>
      <c r="D59" s="29" t="s">
        <v>85</v>
      </c>
      <c r="E59" s="29">
        <v>-75918</v>
      </c>
      <c r="F59" s="29" t="s">
        <v>86</v>
      </c>
    </row>
    <row r="60" spans="1:6" x14ac:dyDescent="0.35">
      <c r="A60" s="30">
        <v>45689</v>
      </c>
      <c r="B60" s="29" t="s">
        <v>25</v>
      </c>
      <c r="C60" s="29" t="s">
        <v>57</v>
      </c>
      <c r="D60" s="29" t="s">
        <v>87</v>
      </c>
      <c r="E60" s="29">
        <v>-155689</v>
      </c>
      <c r="F60" s="29" t="s">
        <v>59</v>
      </c>
    </row>
    <row r="61" spans="1:6" x14ac:dyDescent="0.35">
      <c r="A61" s="30">
        <v>45689</v>
      </c>
      <c r="B61" s="29" t="s">
        <v>25</v>
      </c>
      <c r="C61" s="29" t="s">
        <v>60</v>
      </c>
      <c r="D61" s="29" t="s">
        <v>88</v>
      </c>
      <c r="E61" s="29">
        <v>-5689</v>
      </c>
      <c r="F61" s="29" t="s">
        <v>62</v>
      </c>
    </row>
    <row r="62" spans="1:6" x14ac:dyDescent="0.35">
      <c r="A62" s="30">
        <v>45717</v>
      </c>
      <c r="B62" s="29" t="s">
        <v>8</v>
      </c>
      <c r="C62" s="29" t="s">
        <v>45</v>
      </c>
      <c r="D62" s="29" t="s">
        <v>46</v>
      </c>
      <c r="E62" s="29">
        <v>-289804</v>
      </c>
      <c r="F62" s="29" t="s">
        <v>47</v>
      </c>
    </row>
    <row r="63" spans="1:6" x14ac:dyDescent="0.35">
      <c r="A63" s="30">
        <v>45717</v>
      </c>
      <c r="B63" s="29" t="s">
        <v>8</v>
      </c>
      <c r="C63" s="29" t="s">
        <v>48</v>
      </c>
      <c r="D63" s="29" t="s">
        <v>49</v>
      </c>
      <c r="E63" s="29">
        <v>106912</v>
      </c>
      <c r="F63" s="29" t="s">
        <v>50</v>
      </c>
    </row>
    <row r="64" spans="1:6" x14ac:dyDescent="0.35">
      <c r="A64" s="30">
        <v>45717</v>
      </c>
      <c r="B64" s="29" t="s">
        <v>8</v>
      </c>
      <c r="C64" s="29" t="s">
        <v>51</v>
      </c>
      <c r="D64" s="29" t="s">
        <v>52</v>
      </c>
      <c r="E64" s="29">
        <v>0</v>
      </c>
      <c r="F64" s="29" t="s">
        <v>53</v>
      </c>
    </row>
    <row r="65" spans="1:6" x14ac:dyDescent="0.35">
      <c r="A65" s="30">
        <v>45717</v>
      </c>
      <c r="B65" s="29" t="s">
        <v>8</v>
      </c>
      <c r="C65" s="29" t="s">
        <v>54</v>
      </c>
      <c r="D65" s="29" t="s">
        <v>55</v>
      </c>
      <c r="E65" s="29">
        <v>0</v>
      </c>
      <c r="F65" s="29" t="s">
        <v>56</v>
      </c>
    </row>
    <row r="66" spans="1:6" x14ac:dyDescent="0.35">
      <c r="A66" s="30">
        <v>45717</v>
      </c>
      <c r="B66" s="29" t="s">
        <v>8</v>
      </c>
      <c r="C66" s="29" t="s">
        <v>57</v>
      </c>
      <c r="D66" s="29" t="s">
        <v>58</v>
      </c>
      <c r="E66" s="29">
        <v>-98087</v>
      </c>
      <c r="F66" s="29" t="s">
        <v>59</v>
      </c>
    </row>
    <row r="67" spans="1:6" x14ac:dyDescent="0.35">
      <c r="A67" s="30">
        <v>45717</v>
      </c>
      <c r="B67" s="29" t="s">
        <v>8</v>
      </c>
      <c r="C67" s="29" t="s">
        <v>60</v>
      </c>
      <c r="D67" s="29" t="s">
        <v>61</v>
      </c>
      <c r="E67" s="29">
        <v>-5729</v>
      </c>
      <c r="F67" s="29" t="s">
        <v>62</v>
      </c>
    </row>
    <row r="68" spans="1:6" x14ac:dyDescent="0.35">
      <c r="A68" s="30">
        <v>45717</v>
      </c>
      <c r="B68" s="29" t="s">
        <v>13</v>
      </c>
      <c r="C68" s="29" t="s">
        <v>45</v>
      </c>
      <c r="D68" s="29" t="s">
        <v>63</v>
      </c>
      <c r="E68" s="29">
        <v>-6430</v>
      </c>
      <c r="F68" s="29" t="s">
        <v>47</v>
      </c>
    </row>
    <row r="69" spans="1:6" x14ac:dyDescent="0.35">
      <c r="A69" s="30">
        <v>45717</v>
      </c>
      <c r="B69" s="29" t="s">
        <v>13</v>
      </c>
      <c r="C69" s="29" t="s">
        <v>48</v>
      </c>
      <c r="D69" s="29" t="s">
        <v>64</v>
      </c>
      <c r="E69" s="29">
        <v>1508</v>
      </c>
      <c r="F69" s="29" t="s">
        <v>50</v>
      </c>
    </row>
    <row r="70" spans="1:6" x14ac:dyDescent="0.35">
      <c r="A70" s="30">
        <v>45717</v>
      </c>
      <c r="B70" s="29" t="s">
        <v>13</v>
      </c>
      <c r="C70" s="29" t="s">
        <v>51</v>
      </c>
      <c r="D70" s="29" t="s">
        <v>65</v>
      </c>
      <c r="E70" s="29">
        <v>0</v>
      </c>
      <c r="F70" s="29" t="s">
        <v>53</v>
      </c>
    </row>
    <row r="71" spans="1:6" x14ac:dyDescent="0.35">
      <c r="A71" s="30">
        <v>45717</v>
      </c>
      <c r="B71" s="29" t="s">
        <v>13</v>
      </c>
      <c r="C71" s="29" t="s">
        <v>54</v>
      </c>
      <c r="D71" s="29" t="s">
        <v>66</v>
      </c>
      <c r="E71" s="29">
        <v>0</v>
      </c>
      <c r="F71" s="29" t="s">
        <v>56</v>
      </c>
    </row>
    <row r="72" spans="1:6" x14ac:dyDescent="0.35">
      <c r="A72" s="30">
        <v>45717</v>
      </c>
      <c r="B72" s="29" t="s">
        <v>13</v>
      </c>
      <c r="C72" s="29" t="s">
        <v>57</v>
      </c>
      <c r="D72" s="29" t="s">
        <v>67</v>
      </c>
      <c r="E72" s="29">
        <v>-4424</v>
      </c>
      <c r="F72" s="29" t="s">
        <v>59</v>
      </c>
    </row>
    <row r="73" spans="1:6" x14ac:dyDescent="0.35">
      <c r="A73" s="30">
        <v>45717</v>
      </c>
      <c r="B73" s="29" t="s">
        <v>13</v>
      </c>
      <c r="C73" s="29" t="s">
        <v>60</v>
      </c>
      <c r="D73" s="29" t="s">
        <v>68</v>
      </c>
      <c r="E73" s="29">
        <v>-1046</v>
      </c>
      <c r="F73" s="29" t="s">
        <v>62</v>
      </c>
    </row>
    <row r="74" spans="1:6" x14ac:dyDescent="0.35">
      <c r="A74" s="30">
        <v>45717</v>
      </c>
      <c r="B74" s="29" t="s">
        <v>17</v>
      </c>
      <c r="C74" s="29" t="s">
        <v>45</v>
      </c>
      <c r="D74" s="29" t="s">
        <v>69</v>
      </c>
      <c r="E74" s="29">
        <v>-6619</v>
      </c>
      <c r="F74" s="29" t="s">
        <v>47</v>
      </c>
    </row>
    <row r="75" spans="1:6" x14ac:dyDescent="0.35">
      <c r="A75" s="30">
        <v>45717</v>
      </c>
      <c r="B75" s="29" t="s">
        <v>17</v>
      </c>
      <c r="C75" s="29" t="s">
        <v>48</v>
      </c>
      <c r="D75" s="29" t="s">
        <v>70</v>
      </c>
      <c r="E75" s="29">
        <v>-3934</v>
      </c>
      <c r="F75" s="29" t="s">
        <v>50</v>
      </c>
    </row>
    <row r="76" spans="1:6" x14ac:dyDescent="0.35">
      <c r="A76" s="30">
        <v>45717</v>
      </c>
      <c r="B76" s="29" t="s">
        <v>17</v>
      </c>
      <c r="C76" s="29" t="s">
        <v>51</v>
      </c>
      <c r="D76" s="29" t="s">
        <v>71</v>
      </c>
      <c r="E76" s="29">
        <v>-754</v>
      </c>
      <c r="F76" s="29" t="s">
        <v>53</v>
      </c>
    </row>
    <row r="77" spans="1:6" x14ac:dyDescent="0.35">
      <c r="A77" s="30">
        <v>45717</v>
      </c>
      <c r="B77" s="29" t="s">
        <v>17</v>
      </c>
      <c r="C77" s="29" t="s">
        <v>54</v>
      </c>
      <c r="D77" s="29" t="s">
        <v>72</v>
      </c>
      <c r="E77" s="29">
        <v>0</v>
      </c>
      <c r="F77" s="29" t="s">
        <v>56</v>
      </c>
    </row>
    <row r="78" spans="1:6" x14ac:dyDescent="0.35">
      <c r="A78" s="30">
        <v>45717</v>
      </c>
      <c r="B78" s="29" t="s">
        <v>17</v>
      </c>
      <c r="C78" s="29" t="s">
        <v>57</v>
      </c>
      <c r="D78" s="29" t="s">
        <v>73</v>
      </c>
      <c r="E78" s="29">
        <v>-2834</v>
      </c>
      <c r="F78" s="29" t="s">
        <v>59</v>
      </c>
    </row>
    <row r="79" spans="1:6" x14ac:dyDescent="0.35">
      <c r="A79" s="30">
        <v>45717</v>
      </c>
      <c r="B79" s="29" t="s">
        <v>17</v>
      </c>
      <c r="C79" s="29" t="s">
        <v>60</v>
      </c>
      <c r="D79" s="29" t="s">
        <v>74</v>
      </c>
      <c r="E79" s="29">
        <v>-744</v>
      </c>
      <c r="F79" s="29" t="s">
        <v>62</v>
      </c>
    </row>
    <row r="80" spans="1:6" x14ac:dyDescent="0.35">
      <c r="A80" s="30">
        <v>45717</v>
      </c>
      <c r="B80" s="29" t="s">
        <v>20</v>
      </c>
      <c r="C80" s="29" t="s">
        <v>45</v>
      </c>
      <c r="D80" s="29" t="s">
        <v>75</v>
      </c>
      <c r="E80" s="29">
        <v>-27587</v>
      </c>
      <c r="F80" s="29" t="s">
        <v>47</v>
      </c>
    </row>
    <row r="81" spans="1:6" x14ac:dyDescent="0.35">
      <c r="A81" s="30">
        <v>45717</v>
      </c>
      <c r="B81" s="29" t="s">
        <v>20</v>
      </c>
      <c r="C81" s="29" t="s">
        <v>48</v>
      </c>
      <c r="D81" s="29" t="s">
        <v>76</v>
      </c>
      <c r="E81" s="29">
        <v>-15722</v>
      </c>
      <c r="F81" s="29" t="s">
        <v>50</v>
      </c>
    </row>
    <row r="82" spans="1:6" x14ac:dyDescent="0.35">
      <c r="A82" s="30">
        <v>45717</v>
      </c>
      <c r="B82" s="29" t="s">
        <v>20</v>
      </c>
      <c r="C82" s="29" t="s">
        <v>51</v>
      </c>
      <c r="D82" s="29" t="s">
        <v>77</v>
      </c>
      <c r="E82" s="29">
        <v>0</v>
      </c>
      <c r="F82" s="29" t="s">
        <v>53</v>
      </c>
    </row>
    <row r="83" spans="1:6" x14ac:dyDescent="0.35">
      <c r="A83" s="30">
        <v>45717</v>
      </c>
      <c r="B83" s="29" t="s">
        <v>20</v>
      </c>
      <c r="C83" s="29" t="s">
        <v>54</v>
      </c>
      <c r="D83" s="29" t="s">
        <v>78</v>
      </c>
      <c r="E83" s="29">
        <v>-36684</v>
      </c>
      <c r="F83" s="29" t="s">
        <v>79</v>
      </c>
    </row>
    <row r="84" spans="1:6" x14ac:dyDescent="0.35">
      <c r="A84" s="30">
        <v>45717</v>
      </c>
      <c r="B84" s="29" t="s">
        <v>20</v>
      </c>
      <c r="C84" s="29" t="s">
        <v>57</v>
      </c>
      <c r="D84" s="29" t="s">
        <v>80</v>
      </c>
      <c r="E84" s="29">
        <v>-72959</v>
      </c>
      <c r="F84" s="29" t="s">
        <v>59</v>
      </c>
    </row>
    <row r="85" spans="1:6" x14ac:dyDescent="0.35">
      <c r="A85" s="30">
        <v>45717</v>
      </c>
      <c r="B85" s="29" t="s">
        <v>20</v>
      </c>
      <c r="C85" s="29" t="s">
        <v>60</v>
      </c>
      <c r="D85" s="29" t="s">
        <v>81</v>
      </c>
      <c r="E85" s="29">
        <v>-2651</v>
      </c>
      <c r="F85" s="29" t="s">
        <v>62</v>
      </c>
    </row>
    <row r="86" spans="1:6" x14ac:dyDescent="0.35">
      <c r="A86" s="30">
        <v>45717</v>
      </c>
      <c r="B86" s="29" t="s">
        <v>25</v>
      </c>
      <c r="C86" s="29" t="s">
        <v>45</v>
      </c>
      <c r="D86" s="29" t="s">
        <v>82</v>
      </c>
      <c r="E86" s="29">
        <v>-2477</v>
      </c>
      <c r="F86" s="29" t="s">
        <v>47</v>
      </c>
    </row>
    <row r="87" spans="1:6" x14ac:dyDescent="0.35">
      <c r="A87" s="30">
        <v>45717</v>
      </c>
      <c r="B87" s="29" t="s">
        <v>25</v>
      </c>
      <c r="C87" s="29" t="s">
        <v>48</v>
      </c>
      <c r="D87" s="29" t="s">
        <v>83</v>
      </c>
      <c r="E87" s="29">
        <v>-42335</v>
      </c>
      <c r="F87" s="29" t="s">
        <v>50</v>
      </c>
    </row>
    <row r="88" spans="1:6" x14ac:dyDescent="0.35">
      <c r="A88" s="30">
        <v>45717</v>
      </c>
      <c r="B88" s="29" t="s">
        <v>25</v>
      </c>
      <c r="C88" s="29" t="s">
        <v>51</v>
      </c>
      <c r="D88" s="29" t="s">
        <v>84</v>
      </c>
      <c r="E88" s="29">
        <v>0</v>
      </c>
      <c r="F88" s="29" t="s">
        <v>53</v>
      </c>
    </row>
    <row r="89" spans="1:6" x14ac:dyDescent="0.35">
      <c r="A89" s="30">
        <v>45717</v>
      </c>
      <c r="B89" s="29" t="s">
        <v>25</v>
      </c>
      <c r="C89" s="29" t="s">
        <v>54</v>
      </c>
      <c r="D89" s="29" t="s">
        <v>85</v>
      </c>
      <c r="E89" s="29">
        <v>-98781</v>
      </c>
      <c r="F89" s="29" t="s">
        <v>86</v>
      </c>
    </row>
    <row r="90" spans="1:6" x14ac:dyDescent="0.35">
      <c r="A90" s="30">
        <v>45717</v>
      </c>
      <c r="B90" s="29" t="s">
        <v>25</v>
      </c>
      <c r="C90" s="29" t="s">
        <v>57</v>
      </c>
      <c r="D90" s="29" t="s">
        <v>87</v>
      </c>
      <c r="E90" s="29">
        <v>-161655</v>
      </c>
      <c r="F90" s="29" t="s">
        <v>59</v>
      </c>
    </row>
    <row r="91" spans="1:6" x14ac:dyDescent="0.35">
      <c r="A91" s="30">
        <v>45717</v>
      </c>
      <c r="B91" s="29" t="s">
        <v>25</v>
      </c>
      <c r="C91" s="29" t="s">
        <v>60</v>
      </c>
      <c r="D91" s="29" t="s">
        <v>88</v>
      </c>
      <c r="E91" s="29">
        <v>-5707</v>
      </c>
      <c r="F91" s="29" t="s">
        <v>62</v>
      </c>
    </row>
    <row r="92" spans="1:6" x14ac:dyDescent="0.35">
      <c r="A92" s="30">
        <v>45748</v>
      </c>
      <c r="B92" s="29" t="s">
        <v>8</v>
      </c>
      <c r="C92" s="29" t="s">
        <v>45</v>
      </c>
      <c r="D92" s="29" t="s">
        <v>46</v>
      </c>
      <c r="E92" s="29">
        <v>-248206</v>
      </c>
      <c r="F92" s="29" t="s">
        <v>47</v>
      </c>
    </row>
    <row r="93" spans="1:6" x14ac:dyDescent="0.35">
      <c r="A93" s="30">
        <v>45748</v>
      </c>
      <c r="B93" s="29" t="s">
        <v>8</v>
      </c>
      <c r="C93" s="29" t="s">
        <v>48</v>
      </c>
      <c r="D93" s="29" t="s">
        <v>49</v>
      </c>
      <c r="E93" s="29">
        <v>89064</v>
      </c>
      <c r="F93" s="29" t="s">
        <v>50</v>
      </c>
    </row>
    <row r="94" spans="1:6" x14ac:dyDescent="0.35">
      <c r="A94" s="30">
        <v>45748</v>
      </c>
      <c r="B94" s="29" t="s">
        <v>8</v>
      </c>
      <c r="C94" s="29" t="s">
        <v>51</v>
      </c>
      <c r="D94" s="29" t="s">
        <v>52</v>
      </c>
      <c r="E94" s="29">
        <v>-298186</v>
      </c>
      <c r="F94" s="29" t="s">
        <v>89</v>
      </c>
    </row>
    <row r="95" spans="1:6" x14ac:dyDescent="0.35">
      <c r="A95" s="30">
        <v>45748</v>
      </c>
      <c r="B95" s="29" t="s">
        <v>8</v>
      </c>
      <c r="C95" s="29" t="s">
        <v>54</v>
      </c>
      <c r="D95" s="29" t="s">
        <v>55</v>
      </c>
      <c r="E95" s="29">
        <v>0</v>
      </c>
      <c r="F95" s="29" t="s">
        <v>56</v>
      </c>
    </row>
    <row r="96" spans="1:6" x14ac:dyDescent="0.35">
      <c r="A96" s="30">
        <v>45748</v>
      </c>
      <c r="B96" s="29" t="s">
        <v>8</v>
      </c>
      <c r="C96" s="29" t="s">
        <v>57</v>
      </c>
      <c r="D96" s="29" t="s">
        <v>58</v>
      </c>
      <c r="E96" s="29">
        <v>-296092</v>
      </c>
      <c r="F96" s="29" t="s">
        <v>59</v>
      </c>
    </row>
    <row r="97" spans="1:6" x14ac:dyDescent="0.35">
      <c r="A97" s="30">
        <v>45748</v>
      </c>
      <c r="B97" s="29" t="s">
        <v>8</v>
      </c>
      <c r="C97" s="29" t="s">
        <v>60</v>
      </c>
      <c r="D97" s="29" t="s">
        <v>61</v>
      </c>
      <c r="E97" s="29">
        <v>-6173</v>
      </c>
      <c r="F97" s="29" t="s">
        <v>62</v>
      </c>
    </row>
    <row r="98" spans="1:6" x14ac:dyDescent="0.35">
      <c r="A98" s="30">
        <v>45748</v>
      </c>
      <c r="B98" s="29" t="s">
        <v>13</v>
      </c>
      <c r="C98" s="29" t="s">
        <v>45</v>
      </c>
      <c r="D98" s="29" t="s">
        <v>63</v>
      </c>
      <c r="E98" s="29">
        <v>-9909</v>
      </c>
      <c r="F98" s="29" t="s">
        <v>47</v>
      </c>
    </row>
    <row r="99" spans="1:6" x14ac:dyDescent="0.35">
      <c r="A99" s="30">
        <v>45748</v>
      </c>
      <c r="B99" s="29" t="s">
        <v>13</v>
      </c>
      <c r="C99" s="29" t="s">
        <v>48</v>
      </c>
      <c r="D99" s="29" t="s">
        <v>64</v>
      </c>
      <c r="E99" s="29">
        <v>27055</v>
      </c>
      <c r="F99" s="29" t="s">
        <v>50</v>
      </c>
    </row>
    <row r="100" spans="1:6" x14ac:dyDescent="0.35">
      <c r="A100" s="30">
        <v>45748</v>
      </c>
      <c r="B100" s="29" t="s">
        <v>13</v>
      </c>
      <c r="C100" s="29" t="s">
        <v>51</v>
      </c>
      <c r="D100" s="29" t="s">
        <v>65</v>
      </c>
      <c r="E100" s="29">
        <v>0</v>
      </c>
      <c r="F100" s="29" t="s">
        <v>53</v>
      </c>
    </row>
    <row r="101" spans="1:6" x14ac:dyDescent="0.35">
      <c r="A101" s="30">
        <v>45748</v>
      </c>
      <c r="B101" s="29" t="s">
        <v>13</v>
      </c>
      <c r="C101" s="29" t="s">
        <v>54</v>
      </c>
      <c r="D101" s="29" t="s">
        <v>66</v>
      </c>
      <c r="E101" s="29">
        <v>0</v>
      </c>
      <c r="F101" s="29" t="s">
        <v>56</v>
      </c>
    </row>
    <row r="102" spans="1:6" x14ac:dyDescent="0.35">
      <c r="A102" s="30">
        <v>45748</v>
      </c>
      <c r="B102" s="29" t="s">
        <v>13</v>
      </c>
      <c r="C102" s="29" t="s">
        <v>57</v>
      </c>
      <c r="D102" s="29" t="s">
        <v>67</v>
      </c>
      <c r="E102" s="29">
        <v>-1837</v>
      </c>
      <c r="F102" s="29" t="s">
        <v>59</v>
      </c>
    </row>
    <row r="103" spans="1:6" x14ac:dyDescent="0.35">
      <c r="A103" s="30">
        <v>45748</v>
      </c>
      <c r="B103" s="29" t="s">
        <v>13</v>
      </c>
      <c r="C103" s="29" t="s">
        <v>60</v>
      </c>
      <c r="D103" s="29" t="s">
        <v>68</v>
      </c>
      <c r="E103" s="29">
        <v>-1045</v>
      </c>
      <c r="F103" s="29" t="s">
        <v>62</v>
      </c>
    </row>
    <row r="104" spans="1:6" x14ac:dyDescent="0.35">
      <c r="A104" s="30">
        <v>45748</v>
      </c>
      <c r="B104" s="29" t="s">
        <v>17</v>
      </c>
      <c r="C104" s="29" t="s">
        <v>45</v>
      </c>
      <c r="D104" s="29" t="s">
        <v>69</v>
      </c>
      <c r="E104" s="29">
        <v>-3274</v>
      </c>
      <c r="F104" s="29" t="s">
        <v>47</v>
      </c>
    </row>
    <row r="105" spans="1:6" x14ac:dyDescent="0.35">
      <c r="A105" s="30">
        <v>45748</v>
      </c>
      <c r="B105" s="29" t="s">
        <v>17</v>
      </c>
      <c r="C105" s="29" t="s">
        <v>48</v>
      </c>
      <c r="D105" s="29" t="s">
        <v>70</v>
      </c>
      <c r="E105" s="29">
        <v>-4568</v>
      </c>
      <c r="F105" s="29" t="s">
        <v>50</v>
      </c>
    </row>
    <row r="106" spans="1:6" x14ac:dyDescent="0.35">
      <c r="A106" s="30">
        <v>45748</v>
      </c>
      <c r="B106" s="29" t="s">
        <v>17</v>
      </c>
      <c r="C106" s="29" t="s">
        <v>51</v>
      </c>
      <c r="D106" s="29" t="s">
        <v>71</v>
      </c>
      <c r="E106" s="29">
        <v>-925</v>
      </c>
      <c r="F106" s="29" t="s">
        <v>53</v>
      </c>
    </row>
    <row r="107" spans="1:6" x14ac:dyDescent="0.35">
      <c r="A107" s="30">
        <v>45748</v>
      </c>
      <c r="B107" s="29" t="s">
        <v>17</v>
      </c>
      <c r="C107" s="29" t="s">
        <v>54</v>
      </c>
      <c r="D107" s="29" t="s">
        <v>72</v>
      </c>
      <c r="E107" s="29">
        <v>0</v>
      </c>
      <c r="F107" s="29" t="s">
        <v>56</v>
      </c>
    </row>
    <row r="108" spans="1:6" x14ac:dyDescent="0.35">
      <c r="A108" s="30">
        <v>45748</v>
      </c>
      <c r="B108" s="29" t="s">
        <v>17</v>
      </c>
      <c r="C108" s="29" t="s">
        <v>57</v>
      </c>
      <c r="D108" s="29" t="s">
        <v>73</v>
      </c>
      <c r="E108" s="29">
        <v>-2864</v>
      </c>
      <c r="F108" s="29" t="s">
        <v>59</v>
      </c>
    </row>
    <row r="109" spans="1:6" x14ac:dyDescent="0.35">
      <c r="A109" s="30">
        <v>45748</v>
      </c>
      <c r="B109" s="29" t="s">
        <v>17</v>
      </c>
      <c r="C109" s="29" t="s">
        <v>60</v>
      </c>
      <c r="D109" s="29" t="s">
        <v>74</v>
      </c>
      <c r="E109" s="29">
        <v>-760</v>
      </c>
      <c r="F109" s="29" t="s">
        <v>62</v>
      </c>
    </row>
    <row r="110" spans="1:6" x14ac:dyDescent="0.35">
      <c r="A110" s="30">
        <v>45748</v>
      </c>
      <c r="B110" s="29" t="s">
        <v>20</v>
      </c>
      <c r="C110" s="29" t="s">
        <v>45</v>
      </c>
      <c r="D110" s="29" t="s">
        <v>75</v>
      </c>
      <c r="E110" s="29">
        <v>-27301</v>
      </c>
      <c r="F110" s="29" t="s">
        <v>47</v>
      </c>
    </row>
    <row r="111" spans="1:6" x14ac:dyDescent="0.35">
      <c r="A111" s="30">
        <v>45748</v>
      </c>
      <c r="B111" s="29" t="s">
        <v>20</v>
      </c>
      <c r="C111" s="29" t="s">
        <v>48</v>
      </c>
      <c r="D111" s="29" t="s">
        <v>76</v>
      </c>
      <c r="E111" s="29">
        <v>-21639</v>
      </c>
      <c r="F111" s="29" t="s">
        <v>50</v>
      </c>
    </row>
    <row r="112" spans="1:6" x14ac:dyDescent="0.35">
      <c r="A112" s="30">
        <v>45748</v>
      </c>
      <c r="B112" s="29" t="s">
        <v>20</v>
      </c>
      <c r="C112" s="29" t="s">
        <v>51</v>
      </c>
      <c r="D112" s="29" t="s">
        <v>77</v>
      </c>
      <c r="E112" s="29">
        <v>0</v>
      </c>
      <c r="F112" s="29" t="s">
        <v>53</v>
      </c>
    </row>
    <row r="113" spans="1:6" x14ac:dyDescent="0.35">
      <c r="A113" s="30">
        <v>45748</v>
      </c>
      <c r="B113" s="29" t="s">
        <v>20</v>
      </c>
      <c r="C113" s="29" t="s">
        <v>54</v>
      </c>
      <c r="D113" s="29" t="s">
        <v>78</v>
      </c>
      <c r="E113" s="29">
        <v>-50490</v>
      </c>
      <c r="F113" s="29" t="s">
        <v>79</v>
      </c>
    </row>
    <row r="114" spans="1:6" x14ac:dyDescent="0.35">
      <c r="A114" s="30">
        <v>45748</v>
      </c>
      <c r="B114" s="29" t="s">
        <v>20</v>
      </c>
      <c r="C114" s="29" t="s">
        <v>57</v>
      </c>
      <c r="D114" s="29" t="s">
        <v>80</v>
      </c>
      <c r="E114" s="29">
        <v>-73126</v>
      </c>
      <c r="F114" s="29" t="s">
        <v>59</v>
      </c>
    </row>
    <row r="115" spans="1:6" x14ac:dyDescent="0.35">
      <c r="A115" s="30">
        <v>45748</v>
      </c>
      <c r="B115" s="29" t="s">
        <v>20</v>
      </c>
      <c r="C115" s="29" t="s">
        <v>60</v>
      </c>
      <c r="D115" s="29" t="s">
        <v>81</v>
      </c>
      <c r="E115" s="29">
        <v>-2604</v>
      </c>
      <c r="F115" s="29" t="s">
        <v>62</v>
      </c>
    </row>
    <row r="116" spans="1:6" x14ac:dyDescent="0.35">
      <c r="A116" s="30">
        <v>45748</v>
      </c>
      <c r="B116" s="29" t="s">
        <v>25</v>
      </c>
      <c r="C116" s="29" t="s">
        <v>45</v>
      </c>
      <c r="D116" s="29" t="s">
        <v>82</v>
      </c>
      <c r="E116" s="29">
        <v>-2371</v>
      </c>
      <c r="F116" s="29" t="s">
        <v>47</v>
      </c>
    </row>
    <row r="117" spans="1:6" x14ac:dyDescent="0.35">
      <c r="A117" s="30">
        <v>45748</v>
      </c>
      <c r="B117" s="29" t="s">
        <v>25</v>
      </c>
      <c r="C117" s="29" t="s">
        <v>48</v>
      </c>
      <c r="D117" s="29" t="s">
        <v>83</v>
      </c>
      <c r="E117" s="29">
        <v>-40013</v>
      </c>
      <c r="F117" s="29" t="s">
        <v>50</v>
      </c>
    </row>
    <row r="118" spans="1:6" x14ac:dyDescent="0.35">
      <c r="A118" s="30">
        <v>45748</v>
      </c>
      <c r="B118" s="29" t="s">
        <v>25</v>
      </c>
      <c r="C118" s="29" t="s">
        <v>51</v>
      </c>
      <c r="D118" s="29" t="s">
        <v>84</v>
      </c>
      <c r="E118" s="29">
        <v>0</v>
      </c>
      <c r="F118" s="29" t="s">
        <v>53</v>
      </c>
    </row>
    <row r="119" spans="1:6" x14ac:dyDescent="0.35">
      <c r="A119" s="30">
        <v>45748</v>
      </c>
      <c r="B119" s="29" t="s">
        <v>25</v>
      </c>
      <c r="C119" s="29" t="s">
        <v>54</v>
      </c>
      <c r="D119" s="29" t="s">
        <v>85</v>
      </c>
      <c r="E119" s="29">
        <v>-93363</v>
      </c>
      <c r="F119" s="29" t="s">
        <v>86</v>
      </c>
    </row>
    <row r="120" spans="1:6" x14ac:dyDescent="0.35">
      <c r="A120" s="30">
        <v>45748</v>
      </c>
      <c r="B120" s="29" t="s">
        <v>25</v>
      </c>
      <c r="C120" s="29" t="s">
        <v>57</v>
      </c>
      <c r="D120" s="29" t="s">
        <v>87</v>
      </c>
      <c r="E120" s="29">
        <v>-163364</v>
      </c>
      <c r="F120" s="29" t="s">
        <v>59</v>
      </c>
    </row>
    <row r="121" spans="1:6" x14ac:dyDescent="0.35">
      <c r="A121" s="30">
        <v>45748</v>
      </c>
      <c r="B121" s="29" t="s">
        <v>25</v>
      </c>
      <c r="C121" s="29" t="s">
        <v>60</v>
      </c>
      <c r="D121" s="29" t="s">
        <v>88</v>
      </c>
      <c r="E121" s="29">
        <v>-5698</v>
      </c>
      <c r="F121" s="29" t="s">
        <v>62</v>
      </c>
    </row>
    <row r="122" spans="1:6" x14ac:dyDescent="0.35">
      <c r="A122" s="30">
        <v>45778</v>
      </c>
      <c r="B122" s="29" t="s">
        <v>8</v>
      </c>
      <c r="C122" s="29" t="s">
        <v>45</v>
      </c>
      <c r="D122" s="29" t="s">
        <v>46</v>
      </c>
      <c r="E122" s="29">
        <v>-251986</v>
      </c>
      <c r="F122" s="29" t="s">
        <v>47</v>
      </c>
    </row>
    <row r="123" spans="1:6" x14ac:dyDescent="0.35">
      <c r="A123" s="30">
        <v>45778</v>
      </c>
      <c r="B123" s="29" t="s">
        <v>8</v>
      </c>
      <c r="C123" s="29" t="s">
        <v>48</v>
      </c>
      <c r="D123" s="29" t="s">
        <v>49</v>
      </c>
      <c r="E123" s="29">
        <v>-98075</v>
      </c>
      <c r="F123" s="29" t="s">
        <v>50</v>
      </c>
    </row>
    <row r="124" spans="1:6" x14ac:dyDescent="0.35">
      <c r="A124" s="30">
        <v>45778</v>
      </c>
      <c r="B124" s="29" t="s">
        <v>8</v>
      </c>
      <c r="C124" s="29" t="s">
        <v>51</v>
      </c>
      <c r="D124" s="29" t="s">
        <v>52</v>
      </c>
      <c r="E124" s="29">
        <v>-192436</v>
      </c>
      <c r="F124" s="29" t="s">
        <v>89</v>
      </c>
    </row>
    <row r="125" spans="1:6" x14ac:dyDescent="0.35">
      <c r="A125" s="30">
        <v>45778</v>
      </c>
      <c r="B125" s="29" t="s">
        <v>8</v>
      </c>
      <c r="C125" s="29" t="s">
        <v>54</v>
      </c>
      <c r="D125" s="29" t="s">
        <v>55</v>
      </c>
      <c r="E125" s="29">
        <v>0</v>
      </c>
      <c r="F125" s="29" t="s">
        <v>56</v>
      </c>
    </row>
    <row r="126" spans="1:6" x14ac:dyDescent="0.35">
      <c r="A126" s="30">
        <v>45778</v>
      </c>
      <c r="B126" s="29" t="s">
        <v>8</v>
      </c>
      <c r="C126" s="29" t="s">
        <v>57</v>
      </c>
      <c r="D126" s="29" t="s">
        <v>58</v>
      </c>
      <c r="E126" s="29">
        <v>-246925</v>
      </c>
      <c r="F126" s="29" t="s">
        <v>59</v>
      </c>
    </row>
    <row r="127" spans="1:6" x14ac:dyDescent="0.35">
      <c r="A127" s="30">
        <v>45778</v>
      </c>
      <c r="B127" s="29" t="s">
        <v>8</v>
      </c>
      <c r="C127" s="29" t="s">
        <v>60</v>
      </c>
      <c r="D127" s="29" t="s">
        <v>61</v>
      </c>
      <c r="E127" s="29">
        <v>-6156</v>
      </c>
      <c r="F127" s="29" t="s">
        <v>62</v>
      </c>
    </row>
    <row r="128" spans="1:6" x14ac:dyDescent="0.35">
      <c r="A128" s="30">
        <v>45778</v>
      </c>
      <c r="B128" s="29" t="s">
        <v>13</v>
      </c>
      <c r="C128" s="29" t="s">
        <v>45</v>
      </c>
      <c r="D128" s="29" t="s">
        <v>63</v>
      </c>
      <c r="E128" s="29">
        <v>7991</v>
      </c>
      <c r="F128" s="29" t="s">
        <v>47</v>
      </c>
    </row>
    <row r="129" spans="1:6" x14ac:dyDescent="0.35">
      <c r="A129" s="30">
        <v>45778</v>
      </c>
      <c r="B129" s="29" t="s">
        <v>13</v>
      </c>
      <c r="C129" s="29" t="s">
        <v>48</v>
      </c>
      <c r="D129" s="29" t="s">
        <v>64</v>
      </c>
      <c r="E129" s="29">
        <v>26644</v>
      </c>
      <c r="F129" s="29" t="s">
        <v>50</v>
      </c>
    </row>
    <row r="130" spans="1:6" x14ac:dyDescent="0.35">
      <c r="A130" s="30">
        <v>45778</v>
      </c>
      <c r="B130" s="29" t="s">
        <v>13</v>
      </c>
      <c r="C130" s="29" t="s">
        <v>51</v>
      </c>
      <c r="D130" s="29" t="s">
        <v>65</v>
      </c>
      <c r="E130" s="29">
        <v>0</v>
      </c>
      <c r="F130" s="29" t="s">
        <v>53</v>
      </c>
    </row>
    <row r="131" spans="1:6" x14ac:dyDescent="0.35">
      <c r="A131" s="30">
        <v>45778</v>
      </c>
      <c r="B131" s="29" t="s">
        <v>13</v>
      </c>
      <c r="C131" s="29" t="s">
        <v>54</v>
      </c>
      <c r="D131" s="29" t="s">
        <v>66</v>
      </c>
      <c r="E131" s="29">
        <v>0</v>
      </c>
      <c r="F131" s="29" t="s">
        <v>56</v>
      </c>
    </row>
    <row r="132" spans="1:6" x14ac:dyDescent="0.35">
      <c r="A132" s="30">
        <v>45778</v>
      </c>
      <c r="B132" s="29" t="s">
        <v>13</v>
      </c>
      <c r="C132" s="29" t="s">
        <v>57</v>
      </c>
      <c r="D132" s="29" t="s">
        <v>67</v>
      </c>
      <c r="E132" s="29">
        <v>-2297</v>
      </c>
      <c r="F132" s="29" t="s">
        <v>59</v>
      </c>
    </row>
    <row r="133" spans="1:6" x14ac:dyDescent="0.35">
      <c r="A133" s="30">
        <v>45778</v>
      </c>
      <c r="B133" s="29" t="s">
        <v>13</v>
      </c>
      <c r="C133" s="29" t="s">
        <v>60</v>
      </c>
      <c r="D133" s="29" t="s">
        <v>68</v>
      </c>
      <c r="E133" s="29">
        <v>-1068</v>
      </c>
      <c r="F133" s="29" t="s">
        <v>62</v>
      </c>
    </row>
    <row r="134" spans="1:6" x14ac:dyDescent="0.35">
      <c r="A134" s="30">
        <v>45778</v>
      </c>
      <c r="B134" s="29" t="s">
        <v>17</v>
      </c>
      <c r="C134" s="29" t="s">
        <v>45</v>
      </c>
      <c r="D134" s="29" t="s">
        <v>69</v>
      </c>
      <c r="E134" s="29">
        <v>-6352</v>
      </c>
      <c r="F134" s="29" t="s">
        <v>47</v>
      </c>
    </row>
    <row r="135" spans="1:6" x14ac:dyDescent="0.35">
      <c r="A135" s="30">
        <v>45778</v>
      </c>
      <c r="B135" s="29" t="s">
        <v>17</v>
      </c>
      <c r="C135" s="29" t="s">
        <v>48</v>
      </c>
      <c r="D135" s="29" t="s">
        <v>70</v>
      </c>
      <c r="E135" s="29">
        <v>9010</v>
      </c>
      <c r="F135" s="29" t="s">
        <v>50</v>
      </c>
    </row>
    <row r="136" spans="1:6" x14ac:dyDescent="0.35">
      <c r="A136" s="30">
        <v>45778</v>
      </c>
      <c r="B136" s="29" t="s">
        <v>17</v>
      </c>
      <c r="C136" s="29" t="s">
        <v>51</v>
      </c>
      <c r="D136" s="29" t="s">
        <v>71</v>
      </c>
      <c r="E136" s="29">
        <v>-1977</v>
      </c>
      <c r="F136" s="29" t="s">
        <v>53</v>
      </c>
    </row>
    <row r="137" spans="1:6" x14ac:dyDescent="0.35">
      <c r="A137" s="30">
        <v>45778</v>
      </c>
      <c r="B137" s="29" t="s">
        <v>17</v>
      </c>
      <c r="C137" s="29" t="s">
        <v>54</v>
      </c>
      <c r="D137" s="29" t="s">
        <v>72</v>
      </c>
      <c r="E137" s="29">
        <v>0</v>
      </c>
      <c r="F137" s="29" t="s">
        <v>56</v>
      </c>
    </row>
    <row r="138" spans="1:6" x14ac:dyDescent="0.35">
      <c r="A138" s="30">
        <v>45778</v>
      </c>
      <c r="B138" s="29" t="s">
        <v>17</v>
      </c>
      <c r="C138" s="29" t="s">
        <v>57</v>
      </c>
      <c r="D138" s="29" t="s">
        <v>73</v>
      </c>
      <c r="E138" s="29">
        <v>-2376</v>
      </c>
      <c r="F138" s="29" t="s">
        <v>59</v>
      </c>
    </row>
    <row r="139" spans="1:6" x14ac:dyDescent="0.35">
      <c r="A139" s="30">
        <v>45778</v>
      </c>
      <c r="B139" s="29" t="s">
        <v>17</v>
      </c>
      <c r="C139" s="29" t="s">
        <v>60</v>
      </c>
      <c r="D139" s="29" t="s">
        <v>74</v>
      </c>
      <c r="E139" s="29">
        <v>-739</v>
      </c>
      <c r="F139" s="29" t="s">
        <v>62</v>
      </c>
    </row>
    <row r="140" spans="1:6" x14ac:dyDescent="0.35">
      <c r="A140" s="30">
        <v>45778</v>
      </c>
      <c r="B140" s="29" t="s">
        <v>20</v>
      </c>
      <c r="C140" s="29" t="s">
        <v>45</v>
      </c>
      <c r="D140" s="29" t="s">
        <v>75</v>
      </c>
      <c r="E140" s="29">
        <v>1676</v>
      </c>
      <c r="F140" s="29" t="s">
        <v>47</v>
      </c>
    </row>
    <row r="141" spans="1:6" x14ac:dyDescent="0.35">
      <c r="A141" s="30">
        <v>45778</v>
      </c>
      <c r="B141" s="29" t="s">
        <v>20</v>
      </c>
      <c r="C141" s="29" t="s">
        <v>48</v>
      </c>
      <c r="D141" s="29" t="s">
        <v>76</v>
      </c>
      <c r="E141" s="29">
        <v>-18893</v>
      </c>
      <c r="F141" s="29" t="s">
        <v>50</v>
      </c>
    </row>
    <row r="142" spans="1:6" x14ac:dyDescent="0.35">
      <c r="A142" s="30">
        <v>45778</v>
      </c>
      <c r="B142" s="29" t="s">
        <v>20</v>
      </c>
      <c r="C142" s="29" t="s">
        <v>51</v>
      </c>
      <c r="D142" s="29" t="s">
        <v>77</v>
      </c>
      <c r="E142" s="29">
        <v>0</v>
      </c>
      <c r="F142" s="29" t="s">
        <v>53</v>
      </c>
    </row>
    <row r="143" spans="1:6" x14ac:dyDescent="0.35">
      <c r="A143" s="30">
        <v>45778</v>
      </c>
      <c r="B143" s="29" t="s">
        <v>20</v>
      </c>
      <c r="C143" s="29" t="s">
        <v>54</v>
      </c>
      <c r="D143" s="29" t="s">
        <v>78</v>
      </c>
      <c r="E143" s="29">
        <v>-44084</v>
      </c>
      <c r="F143" s="29" t="s">
        <v>79</v>
      </c>
    </row>
    <row r="144" spans="1:6" x14ac:dyDescent="0.35">
      <c r="A144" s="30">
        <v>45778</v>
      </c>
      <c r="B144" s="29" t="s">
        <v>20</v>
      </c>
      <c r="C144" s="29" t="s">
        <v>57</v>
      </c>
      <c r="D144" s="29" t="s">
        <v>80</v>
      </c>
      <c r="E144" s="29">
        <v>-28292</v>
      </c>
      <c r="F144" s="29" t="s">
        <v>59</v>
      </c>
    </row>
    <row r="145" spans="1:6" x14ac:dyDescent="0.35">
      <c r="A145" s="30">
        <v>45778</v>
      </c>
      <c r="B145" s="29" t="s">
        <v>20</v>
      </c>
      <c r="C145" s="29" t="s">
        <v>60</v>
      </c>
      <c r="D145" s="29" t="s">
        <v>81</v>
      </c>
      <c r="E145" s="29">
        <v>-2631</v>
      </c>
      <c r="F145" s="29" t="s">
        <v>62</v>
      </c>
    </row>
    <row r="146" spans="1:6" x14ac:dyDescent="0.35">
      <c r="A146" s="30">
        <v>45778</v>
      </c>
      <c r="B146" s="29" t="s">
        <v>25</v>
      </c>
      <c r="C146" s="29" t="s">
        <v>45</v>
      </c>
      <c r="D146" s="29" t="s">
        <v>82</v>
      </c>
      <c r="E146" s="29">
        <v>-5510</v>
      </c>
      <c r="F146" s="29" t="s">
        <v>47</v>
      </c>
    </row>
    <row r="147" spans="1:6" x14ac:dyDescent="0.35">
      <c r="A147" s="30">
        <v>45778</v>
      </c>
      <c r="B147" s="29" t="s">
        <v>25</v>
      </c>
      <c r="C147" s="29" t="s">
        <v>48</v>
      </c>
      <c r="D147" s="29" t="s">
        <v>83</v>
      </c>
      <c r="E147" s="29">
        <v>-45131</v>
      </c>
      <c r="F147" s="29" t="s">
        <v>50</v>
      </c>
    </row>
    <row r="148" spans="1:6" x14ac:dyDescent="0.35">
      <c r="A148" s="30">
        <v>45778</v>
      </c>
      <c r="B148" s="29" t="s">
        <v>25</v>
      </c>
      <c r="C148" s="29" t="s">
        <v>51</v>
      </c>
      <c r="D148" s="29" t="s">
        <v>84</v>
      </c>
      <c r="E148" s="29">
        <v>0</v>
      </c>
      <c r="F148" s="29" t="s">
        <v>53</v>
      </c>
    </row>
    <row r="149" spans="1:6" x14ac:dyDescent="0.35">
      <c r="A149" s="30">
        <v>45778</v>
      </c>
      <c r="B149" s="29" t="s">
        <v>25</v>
      </c>
      <c r="C149" s="29" t="s">
        <v>54</v>
      </c>
      <c r="D149" s="29" t="s">
        <v>85</v>
      </c>
      <c r="E149" s="29">
        <v>-105307</v>
      </c>
      <c r="F149" s="29" t="s">
        <v>86</v>
      </c>
    </row>
    <row r="150" spans="1:6" x14ac:dyDescent="0.35">
      <c r="A150" s="30">
        <v>45778</v>
      </c>
      <c r="B150" s="29" t="s">
        <v>25</v>
      </c>
      <c r="C150" s="29" t="s">
        <v>57</v>
      </c>
      <c r="D150" s="29" t="s">
        <v>87</v>
      </c>
      <c r="E150" s="29">
        <v>-167483</v>
      </c>
      <c r="F150" s="29" t="s">
        <v>59</v>
      </c>
    </row>
    <row r="151" spans="1:6" x14ac:dyDescent="0.35">
      <c r="A151" s="30">
        <v>45778</v>
      </c>
      <c r="B151" s="29" t="s">
        <v>25</v>
      </c>
      <c r="C151" s="29" t="s">
        <v>60</v>
      </c>
      <c r="D151" s="29" t="s">
        <v>88</v>
      </c>
      <c r="E151" s="29">
        <v>-5699</v>
      </c>
      <c r="F151" s="29" t="s">
        <v>62</v>
      </c>
    </row>
    <row r="152" spans="1:6" x14ac:dyDescent="0.35">
      <c r="A152" s="30">
        <v>45809</v>
      </c>
      <c r="B152" s="29" t="s">
        <v>8</v>
      </c>
      <c r="C152" s="29" t="s">
        <v>45</v>
      </c>
      <c r="D152" s="29" t="s">
        <v>46</v>
      </c>
      <c r="E152" s="29">
        <v>-304636</v>
      </c>
      <c r="F152" s="29" t="s">
        <v>47</v>
      </c>
    </row>
    <row r="153" spans="1:6" x14ac:dyDescent="0.35">
      <c r="A153" s="30">
        <v>45809</v>
      </c>
      <c r="B153" s="29" t="s">
        <v>8</v>
      </c>
      <c r="C153" s="29" t="s">
        <v>48</v>
      </c>
      <c r="D153" s="29" t="s">
        <v>49</v>
      </c>
      <c r="E153" s="29">
        <v>-112748</v>
      </c>
      <c r="F153" s="29" t="s">
        <v>50</v>
      </c>
    </row>
    <row r="154" spans="1:6" x14ac:dyDescent="0.35">
      <c r="A154" s="30">
        <v>45809</v>
      </c>
      <c r="B154" s="29" t="s">
        <v>8</v>
      </c>
      <c r="C154" s="29" t="s">
        <v>51</v>
      </c>
      <c r="D154" s="29" t="s">
        <v>52</v>
      </c>
      <c r="E154" s="29">
        <v>-14351</v>
      </c>
      <c r="F154" s="29" t="s">
        <v>53</v>
      </c>
    </row>
    <row r="155" spans="1:6" x14ac:dyDescent="0.35">
      <c r="A155" s="30">
        <v>45809</v>
      </c>
      <c r="B155" s="29" t="s">
        <v>8</v>
      </c>
      <c r="C155" s="29" t="s">
        <v>54</v>
      </c>
      <c r="D155" s="29" t="s">
        <v>55</v>
      </c>
      <c r="E155" s="29">
        <v>0</v>
      </c>
      <c r="F155" s="29" t="s">
        <v>56</v>
      </c>
    </row>
    <row r="156" spans="1:6" x14ac:dyDescent="0.35">
      <c r="A156" s="30">
        <v>45809</v>
      </c>
      <c r="B156" s="29" t="s">
        <v>8</v>
      </c>
      <c r="C156" s="29" t="s">
        <v>57</v>
      </c>
      <c r="D156" s="29" t="s">
        <v>58</v>
      </c>
      <c r="E156" s="29">
        <v>-64874</v>
      </c>
      <c r="F156" s="29" t="s">
        <v>59</v>
      </c>
    </row>
    <row r="157" spans="1:6" x14ac:dyDescent="0.35">
      <c r="A157" s="30">
        <v>45809</v>
      </c>
      <c r="B157" s="29" t="s">
        <v>8</v>
      </c>
      <c r="C157" s="29" t="s">
        <v>60</v>
      </c>
      <c r="D157" s="29" t="s">
        <v>61</v>
      </c>
      <c r="E157" s="29">
        <v>-5973</v>
      </c>
      <c r="F157" s="29" t="s">
        <v>62</v>
      </c>
    </row>
    <row r="158" spans="1:6" x14ac:dyDescent="0.35">
      <c r="A158" s="30">
        <v>45809</v>
      </c>
      <c r="B158" s="29" t="s">
        <v>13</v>
      </c>
      <c r="C158" s="29" t="s">
        <v>45</v>
      </c>
      <c r="D158" s="29" t="s">
        <v>63</v>
      </c>
      <c r="E158" s="29">
        <v>3979</v>
      </c>
      <c r="F158" s="29" t="s">
        <v>47</v>
      </c>
    </row>
    <row r="159" spans="1:6" x14ac:dyDescent="0.35">
      <c r="A159" s="30">
        <v>45809</v>
      </c>
      <c r="B159" s="29" t="s">
        <v>13</v>
      </c>
      <c r="C159" s="29" t="s">
        <v>48</v>
      </c>
      <c r="D159" s="29" t="s">
        <v>64</v>
      </c>
      <c r="E159" s="29">
        <v>41325</v>
      </c>
      <c r="F159" s="29" t="s">
        <v>50</v>
      </c>
    </row>
    <row r="160" spans="1:6" x14ac:dyDescent="0.35">
      <c r="A160" s="30">
        <v>45809</v>
      </c>
      <c r="B160" s="29" t="s">
        <v>13</v>
      </c>
      <c r="C160" s="29" t="s">
        <v>51</v>
      </c>
      <c r="D160" s="29" t="s">
        <v>65</v>
      </c>
      <c r="E160" s="29">
        <v>-1851</v>
      </c>
      <c r="F160" s="29" t="s">
        <v>53</v>
      </c>
    </row>
    <row r="161" spans="1:6" x14ac:dyDescent="0.35">
      <c r="A161" s="30">
        <v>45809</v>
      </c>
      <c r="B161" s="29" t="s">
        <v>13</v>
      </c>
      <c r="C161" s="29" t="s">
        <v>54</v>
      </c>
      <c r="D161" s="29" t="s">
        <v>66</v>
      </c>
      <c r="E161" s="29">
        <v>0</v>
      </c>
      <c r="F161" s="29" t="s">
        <v>56</v>
      </c>
    </row>
    <row r="162" spans="1:6" x14ac:dyDescent="0.35">
      <c r="A162" s="30">
        <v>45809</v>
      </c>
      <c r="B162" s="29" t="s">
        <v>13</v>
      </c>
      <c r="C162" s="29" t="s">
        <v>57</v>
      </c>
      <c r="D162" s="29" t="s">
        <v>67</v>
      </c>
      <c r="E162" s="29">
        <v>-3776</v>
      </c>
      <c r="F162" s="29" t="s">
        <v>59</v>
      </c>
    </row>
    <row r="163" spans="1:6" x14ac:dyDescent="0.35">
      <c r="A163" s="30">
        <v>45809</v>
      </c>
      <c r="B163" s="29" t="s">
        <v>13</v>
      </c>
      <c r="C163" s="29" t="s">
        <v>60</v>
      </c>
      <c r="D163" s="29" t="s">
        <v>68</v>
      </c>
      <c r="E163" s="29">
        <v>-996</v>
      </c>
      <c r="F163" s="29" t="s">
        <v>62</v>
      </c>
    </row>
    <row r="164" spans="1:6" x14ac:dyDescent="0.35">
      <c r="A164" s="30">
        <v>45809</v>
      </c>
      <c r="B164" s="29" t="s">
        <v>17</v>
      </c>
      <c r="C164" s="29" t="s">
        <v>45</v>
      </c>
      <c r="D164" s="29" t="s">
        <v>69</v>
      </c>
      <c r="E164" s="29">
        <v>-3691</v>
      </c>
      <c r="F164" s="29" t="s">
        <v>47</v>
      </c>
    </row>
    <row r="165" spans="1:6" x14ac:dyDescent="0.35">
      <c r="A165" s="30">
        <v>45809</v>
      </c>
      <c r="B165" s="29" t="s">
        <v>17</v>
      </c>
      <c r="C165" s="29" t="s">
        <v>48</v>
      </c>
      <c r="D165" s="29" t="s">
        <v>70</v>
      </c>
      <c r="E165" s="29">
        <v>18296</v>
      </c>
      <c r="F165" s="29" t="s">
        <v>50</v>
      </c>
    </row>
    <row r="166" spans="1:6" x14ac:dyDescent="0.35">
      <c r="A166" s="30">
        <v>45809</v>
      </c>
      <c r="B166" s="29" t="s">
        <v>17</v>
      </c>
      <c r="C166" s="29" t="s">
        <v>51</v>
      </c>
      <c r="D166" s="29" t="s">
        <v>71</v>
      </c>
      <c r="E166" s="29">
        <v>-1037</v>
      </c>
      <c r="F166" s="29" t="s">
        <v>53</v>
      </c>
    </row>
    <row r="167" spans="1:6" x14ac:dyDescent="0.35">
      <c r="A167" s="30">
        <v>45809</v>
      </c>
      <c r="B167" s="29" t="s">
        <v>17</v>
      </c>
      <c r="C167" s="29" t="s">
        <v>54</v>
      </c>
      <c r="D167" s="29" t="s">
        <v>72</v>
      </c>
      <c r="E167" s="29">
        <v>0</v>
      </c>
      <c r="F167" s="29" t="s">
        <v>56</v>
      </c>
    </row>
    <row r="168" spans="1:6" x14ac:dyDescent="0.35">
      <c r="A168" s="30">
        <v>45809</v>
      </c>
      <c r="B168" s="29" t="s">
        <v>17</v>
      </c>
      <c r="C168" s="29" t="s">
        <v>57</v>
      </c>
      <c r="D168" s="29" t="s">
        <v>73</v>
      </c>
      <c r="E168" s="29">
        <v>-1493</v>
      </c>
      <c r="F168" s="29" t="s">
        <v>59</v>
      </c>
    </row>
    <row r="169" spans="1:6" x14ac:dyDescent="0.35">
      <c r="A169" s="30">
        <v>45809</v>
      </c>
      <c r="B169" s="29" t="s">
        <v>17</v>
      </c>
      <c r="C169" s="29" t="s">
        <v>60</v>
      </c>
      <c r="D169" s="29" t="s">
        <v>74</v>
      </c>
      <c r="E169" s="29">
        <v>-785</v>
      </c>
      <c r="F169" s="29" t="s">
        <v>62</v>
      </c>
    </row>
    <row r="170" spans="1:6" x14ac:dyDescent="0.35">
      <c r="A170" s="30">
        <v>45809</v>
      </c>
      <c r="B170" s="29" t="s">
        <v>20</v>
      </c>
      <c r="C170" s="29" t="s">
        <v>45</v>
      </c>
      <c r="D170" s="29" t="s">
        <v>75</v>
      </c>
      <c r="E170" s="29">
        <v>33125</v>
      </c>
      <c r="F170" s="29" t="s">
        <v>47</v>
      </c>
    </row>
    <row r="171" spans="1:6" x14ac:dyDescent="0.35">
      <c r="A171" s="30">
        <v>45809</v>
      </c>
      <c r="B171" s="29" t="s">
        <v>20</v>
      </c>
      <c r="C171" s="29" t="s">
        <v>48</v>
      </c>
      <c r="D171" s="29" t="s">
        <v>76</v>
      </c>
      <c r="E171" s="29">
        <v>-19220</v>
      </c>
      <c r="F171" s="29" t="s">
        <v>50</v>
      </c>
    </row>
    <row r="172" spans="1:6" x14ac:dyDescent="0.35">
      <c r="A172" s="30">
        <v>45809</v>
      </c>
      <c r="B172" s="29" t="s">
        <v>20</v>
      </c>
      <c r="C172" s="29" t="s">
        <v>51</v>
      </c>
      <c r="D172" s="29" t="s">
        <v>77</v>
      </c>
      <c r="E172" s="29">
        <v>0</v>
      </c>
      <c r="F172" s="29" t="s">
        <v>53</v>
      </c>
    </row>
    <row r="173" spans="1:6" x14ac:dyDescent="0.35">
      <c r="A173" s="30">
        <v>45809</v>
      </c>
      <c r="B173" s="29" t="s">
        <v>20</v>
      </c>
      <c r="C173" s="29" t="s">
        <v>54</v>
      </c>
      <c r="D173" s="29" t="s">
        <v>78</v>
      </c>
      <c r="E173" s="29">
        <v>-44847</v>
      </c>
      <c r="F173" s="29" t="s">
        <v>79</v>
      </c>
    </row>
    <row r="174" spans="1:6" x14ac:dyDescent="0.35">
      <c r="A174" s="30">
        <v>45809</v>
      </c>
      <c r="B174" s="29" t="s">
        <v>20</v>
      </c>
      <c r="C174" s="29" t="s">
        <v>57</v>
      </c>
      <c r="D174" s="29" t="s">
        <v>80</v>
      </c>
      <c r="E174" s="29">
        <v>-28458</v>
      </c>
      <c r="F174" s="29" t="s">
        <v>59</v>
      </c>
    </row>
    <row r="175" spans="1:6" x14ac:dyDescent="0.35">
      <c r="A175" s="30">
        <v>45809</v>
      </c>
      <c r="B175" s="29" t="s">
        <v>20</v>
      </c>
      <c r="C175" s="29" t="s">
        <v>60</v>
      </c>
      <c r="D175" s="29" t="s">
        <v>81</v>
      </c>
      <c r="E175" s="29">
        <v>-2609</v>
      </c>
      <c r="F175" s="29" t="s">
        <v>62</v>
      </c>
    </row>
    <row r="176" spans="1:6" x14ac:dyDescent="0.35">
      <c r="A176" s="30">
        <v>45809</v>
      </c>
      <c r="B176" s="29" t="s">
        <v>25</v>
      </c>
      <c r="C176" s="29" t="s">
        <v>45</v>
      </c>
      <c r="D176" s="29" t="s">
        <v>82</v>
      </c>
      <c r="E176" s="29">
        <v>-2126</v>
      </c>
      <c r="F176" s="29" t="s">
        <v>47</v>
      </c>
    </row>
    <row r="177" spans="1:6" x14ac:dyDescent="0.35">
      <c r="A177" s="30">
        <v>45809</v>
      </c>
      <c r="B177" s="29" t="s">
        <v>25</v>
      </c>
      <c r="C177" s="29" t="s">
        <v>48</v>
      </c>
      <c r="D177" s="29" t="s">
        <v>83</v>
      </c>
      <c r="E177" s="29">
        <v>-47549</v>
      </c>
      <c r="F177" s="29" t="s">
        <v>50</v>
      </c>
    </row>
    <row r="178" spans="1:6" x14ac:dyDescent="0.35">
      <c r="A178" s="30">
        <v>45809</v>
      </c>
      <c r="B178" s="29" t="s">
        <v>25</v>
      </c>
      <c r="C178" s="29" t="s">
        <v>51</v>
      </c>
      <c r="D178" s="29" t="s">
        <v>84</v>
      </c>
      <c r="E178" s="29">
        <v>0</v>
      </c>
      <c r="F178" s="29" t="s">
        <v>53</v>
      </c>
    </row>
    <row r="179" spans="1:6" x14ac:dyDescent="0.35">
      <c r="A179" s="30">
        <v>45809</v>
      </c>
      <c r="B179" s="29" t="s">
        <v>25</v>
      </c>
      <c r="C179" s="29" t="s">
        <v>54</v>
      </c>
      <c r="D179" s="29" t="s">
        <v>85</v>
      </c>
      <c r="E179" s="29">
        <v>-110948</v>
      </c>
      <c r="F179" s="29" t="s">
        <v>86</v>
      </c>
    </row>
    <row r="180" spans="1:6" x14ac:dyDescent="0.35">
      <c r="A180" s="30">
        <v>45809</v>
      </c>
      <c r="B180" s="29" t="s">
        <v>25</v>
      </c>
      <c r="C180" s="29" t="s">
        <v>57</v>
      </c>
      <c r="D180" s="29" t="s">
        <v>87</v>
      </c>
      <c r="E180" s="29">
        <v>-169003</v>
      </c>
      <c r="F180" s="29" t="s">
        <v>59</v>
      </c>
    </row>
    <row r="181" spans="1:6" x14ac:dyDescent="0.35">
      <c r="A181" s="30">
        <v>45809</v>
      </c>
      <c r="B181" s="29" t="s">
        <v>25</v>
      </c>
      <c r="C181" s="29" t="s">
        <v>60</v>
      </c>
      <c r="D181" s="29" t="s">
        <v>88</v>
      </c>
      <c r="E181" s="29">
        <v>-5707</v>
      </c>
      <c r="F181" s="29" t="s">
        <v>62</v>
      </c>
    </row>
    <row r="182" spans="1:6" x14ac:dyDescent="0.35">
      <c r="A182" s="30">
        <v>45839</v>
      </c>
      <c r="B182" s="29" t="s">
        <v>8</v>
      </c>
      <c r="C182" s="29" t="s">
        <v>45</v>
      </c>
      <c r="D182" s="29" t="s">
        <v>46</v>
      </c>
      <c r="E182" s="29">
        <v>-256046</v>
      </c>
      <c r="F182" s="29" t="s">
        <v>47</v>
      </c>
    </row>
    <row r="183" spans="1:6" x14ac:dyDescent="0.35">
      <c r="A183" s="30">
        <v>45839</v>
      </c>
      <c r="B183" s="29" t="s">
        <v>8</v>
      </c>
      <c r="C183" s="29" t="s">
        <v>48</v>
      </c>
      <c r="D183" s="29" t="s">
        <v>49</v>
      </c>
      <c r="E183" s="29">
        <v>81758</v>
      </c>
      <c r="F183" s="29" t="s">
        <v>50</v>
      </c>
    </row>
    <row r="184" spans="1:6" x14ac:dyDescent="0.35">
      <c r="A184" s="30">
        <v>45839</v>
      </c>
      <c r="B184" s="29" t="s">
        <v>8</v>
      </c>
      <c r="C184" s="29" t="s">
        <v>51</v>
      </c>
      <c r="D184" s="29" t="s">
        <v>52</v>
      </c>
      <c r="E184" s="29">
        <v>-13463</v>
      </c>
      <c r="F184" s="29" t="s">
        <v>53</v>
      </c>
    </row>
    <row r="185" spans="1:6" x14ac:dyDescent="0.35">
      <c r="A185" s="30">
        <v>45839</v>
      </c>
      <c r="B185" s="29" t="s">
        <v>8</v>
      </c>
      <c r="C185" s="29" t="s">
        <v>54</v>
      </c>
      <c r="D185" s="29" t="s">
        <v>55</v>
      </c>
      <c r="E185" s="29">
        <v>0</v>
      </c>
      <c r="F185" s="29" t="s">
        <v>56</v>
      </c>
    </row>
    <row r="186" spans="1:6" x14ac:dyDescent="0.35">
      <c r="A186" s="30">
        <v>45839</v>
      </c>
      <c r="B186" s="29" t="s">
        <v>8</v>
      </c>
      <c r="C186" s="29" t="s">
        <v>57</v>
      </c>
      <c r="D186" s="29" t="s">
        <v>58</v>
      </c>
      <c r="E186" s="29">
        <v>-57851</v>
      </c>
      <c r="F186" s="29" t="s">
        <v>59</v>
      </c>
    </row>
    <row r="187" spans="1:6" x14ac:dyDescent="0.35">
      <c r="A187" s="30">
        <v>45839</v>
      </c>
      <c r="B187" s="29" t="s">
        <v>8</v>
      </c>
      <c r="C187" s="29" t="s">
        <v>60</v>
      </c>
      <c r="D187" s="29" t="s">
        <v>61</v>
      </c>
      <c r="E187" s="29">
        <v>-6080</v>
      </c>
      <c r="F187" s="29" t="s">
        <v>62</v>
      </c>
    </row>
    <row r="188" spans="1:6" x14ac:dyDescent="0.35">
      <c r="A188" s="30">
        <v>45839</v>
      </c>
      <c r="B188" s="29" t="s">
        <v>13</v>
      </c>
      <c r="C188" s="29" t="s">
        <v>45</v>
      </c>
      <c r="D188" s="29" t="s">
        <v>63</v>
      </c>
      <c r="E188" s="29">
        <v>-4051</v>
      </c>
      <c r="F188" s="29" t="s">
        <v>47</v>
      </c>
    </row>
    <row r="189" spans="1:6" x14ac:dyDescent="0.35">
      <c r="A189" s="30">
        <v>45839</v>
      </c>
      <c r="B189" s="29" t="s">
        <v>13</v>
      </c>
      <c r="C189" s="29" t="s">
        <v>48</v>
      </c>
      <c r="D189" s="29" t="s">
        <v>64</v>
      </c>
      <c r="E189" s="29">
        <v>-7404</v>
      </c>
      <c r="F189" s="29" t="s">
        <v>50</v>
      </c>
    </row>
    <row r="190" spans="1:6" x14ac:dyDescent="0.35">
      <c r="A190" s="30">
        <v>45839</v>
      </c>
      <c r="B190" s="29" t="s">
        <v>13</v>
      </c>
      <c r="C190" s="29" t="s">
        <v>51</v>
      </c>
      <c r="D190" s="29" t="s">
        <v>65</v>
      </c>
      <c r="E190" s="29">
        <v>0</v>
      </c>
      <c r="F190" s="29" t="s">
        <v>53</v>
      </c>
    </row>
    <row r="191" spans="1:6" x14ac:dyDescent="0.35">
      <c r="A191" s="30">
        <v>45839</v>
      </c>
      <c r="B191" s="29" t="s">
        <v>13</v>
      </c>
      <c r="C191" s="29" t="s">
        <v>54</v>
      </c>
      <c r="D191" s="29" t="s">
        <v>66</v>
      </c>
      <c r="E191" s="29">
        <v>0</v>
      </c>
      <c r="F191" s="29" t="s">
        <v>56</v>
      </c>
    </row>
    <row r="192" spans="1:6" x14ac:dyDescent="0.35">
      <c r="A192" s="30">
        <v>45839</v>
      </c>
      <c r="B192" s="29" t="s">
        <v>13</v>
      </c>
      <c r="C192" s="29" t="s">
        <v>57</v>
      </c>
      <c r="D192" s="29" t="s">
        <v>67</v>
      </c>
      <c r="E192" s="29">
        <v>-2089</v>
      </c>
      <c r="F192" s="29" t="s">
        <v>59</v>
      </c>
    </row>
    <row r="193" spans="1:6" x14ac:dyDescent="0.35">
      <c r="A193" s="30">
        <v>45839</v>
      </c>
      <c r="B193" s="29" t="s">
        <v>13</v>
      </c>
      <c r="C193" s="29" t="s">
        <v>60</v>
      </c>
      <c r="D193" s="29" t="s">
        <v>68</v>
      </c>
      <c r="E193" s="29">
        <v>-996</v>
      </c>
      <c r="F193" s="29" t="s">
        <v>62</v>
      </c>
    </row>
    <row r="194" spans="1:6" x14ac:dyDescent="0.35">
      <c r="A194" s="30">
        <v>45839</v>
      </c>
      <c r="B194" s="29" t="s">
        <v>17</v>
      </c>
      <c r="C194" s="29" t="s">
        <v>45</v>
      </c>
      <c r="D194" s="29" t="s">
        <v>69</v>
      </c>
      <c r="E194" s="29">
        <v>-3276</v>
      </c>
      <c r="F194" s="29" t="s">
        <v>47</v>
      </c>
    </row>
    <row r="195" spans="1:6" x14ac:dyDescent="0.35">
      <c r="A195" s="30">
        <v>45839</v>
      </c>
      <c r="B195" s="29" t="s">
        <v>17</v>
      </c>
      <c r="C195" s="29" t="s">
        <v>48</v>
      </c>
      <c r="D195" s="29" t="s">
        <v>70</v>
      </c>
      <c r="E195" s="29">
        <v>23855</v>
      </c>
      <c r="F195" s="29" t="s">
        <v>50</v>
      </c>
    </row>
    <row r="196" spans="1:6" x14ac:dyDescent="0.35">
      <c r="A196" s="30">
        <v>45839</v>
      </c>
      <c r="B196" s="29" t="s">
        <v>17</v>
      </c>
      <c r="C196" s="29" t="s">
        <v>51</v>
      </c>
      <c r="D196" s="29" t="s">
        <v>71</v>
      </c>
      <c r="E196" s="29">
        <v>0</v>
      </c>
      <c r="F196" s="29" t="s">
        <v>53</v>
      </c>
    </row>
    <row r="197" spans="1:6" x14ac:dyDescent="0.35">
      <c r="A197" s="30">
        <v>45839</v>
      </c>
      <c r="B197" s="29" t="s">
        <v>17</v>
      </c>
      <c r="C197" s="29" t="s">
        <v>54</v>
      </c>
      <c r="D197" s="29" t="s">
        <v>72</v>
      </c>
      <c r="E197" s="29">
        <v>0</v>
      </c>
      <c r="F197" s="29" t="s">
        <v>56</v>
      </c>
    </row>
    <row r="198" spans="1:6" x14ac:dyDescent="0.35">
      <c r="A198" s="30">
        <v>45839</v>
      </c>
      <c r="B198" s="29" t="s">
        <v>17</v>
      </c>
      <c r="C198" s="29" t="s">
        <v>57</v>
      </c>
      <c r="D198" s="29" t="s">
        <v>73</v>
      </c>
      <c r="E198" s="29">
        <v>-1340</v>
      </c>
      <c r="F198" s="29" t="s">
        <v>59</v>
      </c>
    </row>
    <row r="199" spans="1:6" x14ac:dyDescent="0.35">
      <c r="A199" s="30">
        <v>45839</v>
      </c>
      <c r="B199" s="29" t="s">
        <v>17</v>
      </c>
      <c r="C199" s="29" t="s">
        <v>60</v>
      </c>
      <c r="D199" s="29" t="s">
        <v>74</v>
      </c>
      <c r="E199" s="29">
        <v>-719</v>
      </c>
      <c r="F199" s="29" t="s">
        <v>62</v>
      </c>
    </row>
    <row r="200" spans="1:6" x14ac:dyDescent="0.35">
      <c r="A200" s="30">
        <v>45839</v>
      </c>
      <c r="B200" s="29" t="s">
        <v>20</v>
      </c>
      <c r="C200" s="29" t="s">
        <v>45</v>
      </c>
      <c r="D200" s="29" t="s">
        <v>75</v>
      </c>
      <c r="E200" s="29">
        <v>-24742</v>
      </c>
      <c r="F200" s="29" t="s">
        <v>47</v>
      </c>
    </row>
    <row r="201" spans="1:6" x14ac:dyDescent="0.35">
      <c r="A201" s="30">
        <v>45839</v>
      </c>
      <c r="B201" s="29" t="s">
        <v>20</v>
      </c>
      <c r="C201" s="29" t="s">
        <v>48</v>
      </c>
      <c r="D201" s="29" t="s">
        <v>76</v>
      </c>
      <c r="E201" s="29">
        <v>-3668</v>
      </c>
      <c r="F201" s="29" t="s">
        <v>50</v>
      </c>
    </row>
    <row r="202" spans="1:6" x14ac:dyDescent="0.35">
      <c r="A202" s="30">
        <v>45839</v>
      </c>
      <c r="B202" s="29" t="s">
        <v>20</v>
      </c>
      <c r="C202" s="29" t="s">
        <v>51</v>
      </c>
      <c r="D202" s="29" t="s">
        <v>77</v>
      </c>
      <c r="E202" s="29">
        <v>0</v>
      </c>
      <c r="F202" s="29" t="s">
        <v>53</v>
      </c>
    </row>
    <row r="203" spans="1:6" x14ac:dyDescent="0.35">
      <c r="A203" s="30">
        <v>45839</v>
      </c>
      <c r="B203" s="29" t="s">
        <v>20</v>
      </c>
      <c r="C203" s="29" t="s">
        <v>54</v>
      </c>
      <c r="D203" s="29" t="s">
        <v>78</v>
      </c>
      <c r="E203" s="29">
        <v>-8558</v>
      </c>
      <c r="F203" s="29" t="s">
        <v>79</v>
      </c>
    </row>
    <row r="204" spans="1:6" x14ac:dyDescent="0.35">
      <c r="A204" s="30">
        <v>45839</v>
      </c>
      <c r="B204" s="29" t="s">
        <v>20</v>
      </c>
      <c r="C204" s="29" t="s">
        <v>57</v>
      </c>
      <c r="D204" s="29" t="s">
        <v>80</v>
      </c>
      <c r="E204" s="29">
        <v>-28625</v>
      </c>
      <c r="F204" s="29" t="s">
        <v>59</v>
      </c>
    </row>
    <row r="205" spans="1:6" x14ac:dyDescent="0.35">
      <c r="A205" s="30">
        <v>45839</v>
      </c>
      <c r="B205" s="29" t="s">
        <v>20</v>
      </c>
      <c r="C205" s="29" t="s">
        <v>60</v>
      </c>
      <c r="D205" s="29" t="s">
        <v>81</v>
      </c>
      <c r="E205" s="29">
        <v>-2596</v>
      </c>
      <c r="F205" s="29" t="s">
        <v>62</v>
      </c>
    </row>
    <row r="206" spans="1:6" x14ac:dyDescent="0.35">
      <c r="A206" s="30">
        <v>45839</v>
      </c>
      <c r="B206" s="29" t="s">
        <v>25</v>
      </c>
      <c r="C206" s="29" t="s">
        <v>45</v>
      </c>
      <c r="D206" s="29" t="s">
        <v>82</v>
      </c>
      <c r="E206" s="29">
        <v>2333</v>
      </c>
      <c r="F206" s="29" t="s">
        <v>47</v>
      </c>
    </row>
    <row r="207" spans="1:6" x14ac:dyDescent="0.35">
      <c r="A207" s="30">
        <v>45839</v>
      </c>
      <c r="B207" s="29" t="s">
        <v>25</v>
      </c>
      <c r="C207" s="29" t="s">
        <v>48</v>
      </c>
      <c r="D207" s="29" t="s">
        <v>83</v>
      </c>
      <c r="E207" s="29">
        <v>-48916</v>
      </c>
      <c r="F207" s="29" t="s">
        <v>50</v>
      </c>
    </row>
    <row r="208" spans="1:6" x14ac:dyDescent="0.35">
      <c r="A208" s="30">
        <v>45839</v>
      </c>
      <c r="B208" s="29" t="s">
        <v>25</v>
      </c>
      <c r="C208" s="29" t="s">
        <v>51</v>
      </c>
      <c r="D208" s="29" t="s">
        <v>84</v>
      </c>
      <c r="E208" s="29">
        <v>0</v>
      </c>
      <c r="F208" s="29" t="s">
        <v>53</v>
      </c>
    </row>
    <row r="209" spans="1:6" x14ac:dyDescent="0.35">
      <c r="A209" s="30">
        <v>45839</v>
      </c>
      <c r="B209" s="29" t="s">
        <v>25</v>
      </c>
      <c r="C209" s="29" t="s">
        <v>54</v>
      </c>
      <c r="D209" s="29" t="s">
        <v>85</v>
      </c>
      <c r="E209" s="29">
        <v>-114137</v>
      </c>
      <c r="F209" s="29" t="s">
        <v>86</v>
      </c>
    </row>
    <row r="210" spans="1:6" x14ac:dyDescent="0.35">
      <c r="A210" s="30">
        <v>45839</v>
      </c>
      <c r="B210" s="29" t="s">
        <v>25</v>
      </c>
      <c r="C210" s="29" t="s">
        <v>57</v>
      </c>
      <c r="D210" s="29" t="s">
        <v>87</v>
      </c>
      <c r="E210" s="29">
        <v>-173311</v>
      </c>
      <c r="F210" s="29" t="s">
        <v>59</v>
      </c>
    </row>
    <row r="211" spans="1:6" x14ac:dyDescent="0.35">
      <c r="A211" s="30">
        <v>45839</v>
      </c>
      <c r="B211" s="29" t="s">
        <v>25</v>
      </c>
      <c r="C211" s="29" t="s">
        <v>60</v>
      </c>
      <c r="D211" s="29" t="s">
        <v>88</v>
      </c>
      <c r="E211" s="29">
        <v>-5717</v>
      </c>
      <c r="F211" s="29" t="s">
        <v>62</v>
      </c>
    </row>
    <row r="212" spans="1:6" x14ac:dyDescent="0.35">
      <c r="A212" s="30">
        <v>45870</v>
      </c>
      <c r="B212" s="29" t="s">
        <v>8</v>
      </c>
      <c r="C212" s="29" t="s">
        <v>45</v>
      </c>
      <c r="D212" s="29" t="s">
        <v>46</v>
      </c>
      <c r="E212" s="29">
        <v>-300120</v>
      </c>
      <c r="F212" s="29" t="s">
        <v>47</v>
      </c>
    </row>
    <row r="213" spans="1:6" x14ac:dyDescent="0.35">
      <c r="A213" s="30">
        <v>45870</v>
      </c>
      <c r="B213" s="29" t="s">
        <v>8</v>
      </c>
      <c r="C213" s="29" t="s">
        <v>48</v>
      </c>
      <c r="D213" s="29" t="s">
        <v>49</v>
      </c>
      <c r="E213" s="29">
        <v>-42180</v>
      </c>
      <c r="F213" s="29" t="s">
        <v>50</v>
      </c>
    </row>
    <row r="214" spans="1:6" x14ac:dyDescent="0.35">
      <c r="A214" s="30">
        <v>45870</v>
      </c>
      <c r="B214" s="29" t="s">
        <v>8</v>
      </c>
      <c r="C214" s="29" t="s">
        <v>51</v>
      </c>
      <c r="D214" s="29" t="s">
        <v>52</v>
      </c>
      <c r="E214" s="29">
        <v>-15055</v>
      </c>
      <c r="F214" s="29" t="s">
        <v>53</v>
      </c>
    </row>
    <row r="215" spans="1:6" x14ac:dyDescent="0.35">
      <c r="A215" s="30">
        <v>45870</v>
      </c>
      <c r="B215" s="29" t="s">
        <v>8</v>
      </c>
      <c r="C215" s="29" t="s">
        <v>54</v>
      </c>
      <c r="D215" s="29" t="s">
        <v>55</v>
      </c>
      <c r="E215" s="29">
        <v>0</v>
      </c>
      <c r="F215" s="29" t="s">
        <v>56</v>
      </c>
    </row>
    <row r="216" spans="1:6" x14ac:dyDescent="0.35">
      <c r="A216" s="30">
        <v>45870</v>
      </c>
      <c r="B216" s="29" t="s">
        <v>8</v>
      </c>
      <c r="C216" s="29" t="s">
        <v>57</v>
      </c>
      <c r="D216" s="29" t="s">
        <v>58</v>
      </c>
      <c r="E216" s="29">
        <v>-62362</v>
      </c>
      <c r="F216" s="29" t="s">
        <v>59</v>
      </c>
    </row>
    <row r="217" spans="1:6" x14ac:dyDescent="0.35">
      <c r="A217" s="30">
        <v>45870</v>
      </c>
      <c r="B217" s="29" t="s">
        <v>8</v>
      </c>
      <c r="C217" s="29" t="s">
        <v>60</v>
      </c>
      <c r="D217" s="29" t="s">
        <v>61</v>
      </c>
      <c r="E217" s="29">
        <v>-6033</v>
      </c>
      <c r="F217" s="29" t="s">
        <v>62</v>
      </c>
    </row>
    <row r="218" spans="1:6" x14ac:dyDescent="0.35">
      <c r="A218" s="30">
        <v>45870</v>
      </c>
      <c r="B218" s="29" t="s">
        <v>13</v>
      </c>
      <c r="C218" s="29" t="s">
        <v>45</v>
      </c>
      <c r="D218" s="29" t="s">
        <v>63</v>
      </c>
      <c r="E218" s="29">
        <v>-16519</v>
      </c>
      <c r="F218" s="29" t="s">
        <v>47</v>
      </c>
    </row>
    <row r="219" spans="1:6" x14ac:dyDescent="0.35">
      <c r="A219" s="30">
        <v>45870</v>
      </c>
      <c r="B219" s="29" t="s">
        <v>13</v>
      </c>
      <c r="C219" s="29" t="s">
        <v>48</v>
      </c>
      <c r="D219" s="29" t="s">
        <v>64</v>
      </c>
      <c r="E219" s="29">
        <v>-14558</v>
      </c>
      <c r="F219" s="29" t="s">
        <v>50</v>
      </c>
    </row>
    <row r="220" spans="1:6" x14ac:dyDescent="0.35">
      <c r="A220" s="30">
        <v>45870</v>
      </c>
      <c r="B220" s="29" t="s">
        <v>13</v>
      </c>
      <c r="C220" s="29" t="s">
        <v>51</v>
      </c>
      <c r="D220" s="29" t="s">
        <v>65</v>
      </c>
      <c r="E220" s="29">
        <v>-3435</v>
      </c>
      <c r="F220" s="29" t="s">
        <v>53</v>
      </c>
    </row>
    <row r="221" spans="1:6" x14ac:dyDescent="0.35">
      <c r="A221" s="30">
        <v>45870</v>
      </c>
      <c r="B221" s="29" t="s">
        <v>13</v>
      </c>
      <c r="C221" s="29" t="s">
        <v>54</v>
      </c>
      <c r="D221" s="29" t="s">
        <v>66</v>
      </c>
      <c r="E221" s="29">
        <v>0</v>
      </c>
      <c r="F221" s="29" t="s">
        <v>56</v>
      </c>
    </row>
    <row r="222" spans="1:6" x14ac:dyDescent="0.35">
      <c r="A222" s="30">
        <v>45870</v>
      </c>
      <c r="B222" s="29" t="s">
        <v>13</v>
      </c>
      <c r="C222" s="29" t="s">
        <v>57</v>
      </c>
      <c r="D222" s="29" t="s">
        <v>67</v>
      </c>
      <c r="E222" s="29">
        <v>-3044</v>
      </c>
      <c r="F222" s="29" t="s">
        <v>59</v>
      </c>
    </row>
    <row r="223" spans="1:6" x14ac:dyDescent="0.35">
      <c r="A223" s="30">
        <v>45870</v>
      </c>
      <c r="B223" s="29" t="s">
        <v>13</v>
      </c>
      <c r="C223" s="29" t="s">
        <v>60</v>
      </c>
      <c r="D223" s="29" t="s">
        <v>68</v>
      </c>
      <c r="E223" s="29">
        <v>-997</v>
      </c>
      <c r="F223" s="29" t="s">
        <v>62</v>
      </c>
    </row>
    <row r="224" spans="1:6" x14ac:dyDescent="0.35">
      <c r="A224" s="30">
        <v>45870</v>
      </c>
      <c r="B224" s="29" t="s">
        <v>17</v>
      </c>
      <c r="C224" s="29" t="s">
        <v>45</v>
      </c>
      <c r="D224" s="29" t="s">
        <v>69</v>
      </c>
      <c r="E224" s="29">
        <v>-14521</v>
      </c>
      <c r="F224" s="29" t="s">
        <v>47</v>
      </c>
    </row>
    <row r="225" spans="1:6" x14ac:dyDescent="0.35">
      <c r="A225" s="30">
        <v>45870</v>
      </c>
      <c r="B225" s="29" t="s">
        <v>17</v>
      </c>
      <c r="C225" s="29" t="s">
        <v>48</v>
      </c>
      <c r="D225" s="29" t="s">
        <v>70</v>
      </c>
      <c r="E225" s="29">
        <v>8534</v>
      </c>
      <c r="F225" s="29" t="s">
        <v>50</v>
      </c>
    </row>
    <row r="226" spans="1:6" x14ac:dyDescent="0.35">
      <c r="A226" s="30">
        <v>45870</v>
      </c>
      <c r="B226" s="29" t="s">
        <v>17</v>
      </c>
      <c r="C226" s="29" t="s">
        <v>51</v>
      </c>
      <c r="D226" s="29" t="s">
        <v>71</v>
      </c>
      <c r="E226" s="29">
        <v>0</v>
      </c>
      <c r="F226" s="29" t="s">
        <v>53</v>
      </c>
    </row>
    <row r="227" spans="1:6" x14ac:dyDescent="0.35">
      <c r="A227" s="30">
        <v>45870</v>
      </c>
      <c r="B227" s="29" t="s">
        <v>17</v>
      </c>
      <c r="C227" s="29" t="s">
        <v>54</v>
      </c>
      <c r="D227" s="29" t="s">
        <v>72</v>
      </c>
      <c r="E227" s="29">
        <v>0</v>
      </c>
      <c r="F227" s="29" t="s">
        <v>56</v>
      </c>
    </row>
    <row r="228" spans="1:6" x14ac:dyDescent="0.35">
      <c r="A228" s="30">
        <v>45870</v>
      </c>
      <c r="B228" s="29" t="s">
        <v>17</v>
      </c>
      <c r="C228" s="29" t="s">
        <v>57</v>
      </c>
      <c r="D228" s="29" t="s">
        <v>73</v>
      </c>
      <c r="E228" s="29">
        <v>-2651</v>
      </c>
      <c r="F228" s="29" t="s">
        <v>59</v>
      </c>
    </row>
    <row r="229" spans="1:6" x14ac:dyDescent="0.35">
      <c r="A229" s="30">
        <v>45870</v>
      </c>
      <c r="B229" s="29" t="s">
        <v>17</v>
      </c>
      <c r="C229" s="29" t="s">
        <v>60</v>
      </c>
      <c r="D229" s="29" t="s">
        <v>74</v>
      </c>
      <c r="E229" s="29">
        <v>-726</v>
      </c>
      <c r="F229" s="29" t="s">
        <v>62</v>
      </c>
    </row>
    <row r="230" spans="1:6" x14ac:dyDescent="0.35">
      <c r="A230" s="30">
        <v>45870</v>
      </c>
      <c r="B230" s="29" t="s">
        <v>20</v>
      </c>
      <c r="C230" s="29" t="s">
        <v>45</v>
      </c>
      <c r="D230" s="29" t="s">
        <v>75</v>
      </c>
      <c r="E230" s="29">
        <v>-31065</v>
      </c>
      <c r="F230" s="29" t="s">
        <v>47</v>
      </c>
    </row>
    <row r="231" spans="1:6" x14ac:dyDescent="0.35">
      <c r="A231" s="30">
        <v>45870</v>
      </c>
      <c r="B231" s="29" t="s">
        <v>20</v>
      </c>
      <c r="C231" s="29" t="s">
        <v>48</v>
      </c>
      <c r="D231" s="29" t="s">
        <v>76</v>
      </c>
      <c r="E231" s="29">
        <v>-18322</v>
      </c>
      <c r="F231" s="29" t="s">
        <v>50</v>
      </c>
    </row>
    <row r="232" spans="1:6" x14ac:dyDescent="0.35">
      <c r="A232" s="30">
        <v>45870</v>
      </c>
      <c r="B232" s="29" t="s">
        <v>20</v>
      </c>
      <c r="C232" s="29" t="s">
        <v>51</v>
      </c>
      <c r="D232" s="29" t="s">
        <v>77</v>
      </c>
      <c r="E232" s="29">
        <v>0</v>
      </c>
      <c r="F232" s="29" t="s">
        <v>53</v>
      </c>
    </row>
    <row r="233" spans="1:6" x14ac:dyDescent="0.35">
      <c r="A233" s="30">
        <v>45870</v>
      </c>
      <c r="B233" s="29" t="s">
        <v>20</v>
      </c>
      <c r="C233" s="29" t="s">
        <v>54</v>
      </c>
      <c r="D233" s="29" t="s">
        <v>78</v>
      </c>
      <c r="E233" s="29">
        <v>-42751</v>
      </c>
      <c r="F233" s="29" t="s">
        <v>79</v>
      </c>
    </row>
    <row r="234" spans="1:6" x14ac:dyDescent="0.35">
      <c r="A234" s="30">
        <v>45870</v>
      </c>
      <c r="B234" s="29" t="s">
        <v>20</v>
      </c>
      <c r="C234" s="29" t="s">
        <v>57</v>
      </c>
      <c r="D234" s="29" t="s">
        <v>80</v>
      </c>
      <c r="E234" s="29">
        <v>-28791</v>
      </c>
      <c r="F234" s="29" t="s">
        <v>59</v>
      </c>
    </row>
    <row r="235" spans="1:6" x14ac:dyDescent="0.35">
      <c r="A235" s="30">
        <v>45870</v>
      </c>
      <c r="B235" s="29" t="s">
        <v>20</v>
      </c>
      <c r="C235" s="29" t="s">
        <v>60</v>
      </c>
      <c r="D235" s="29" t="s">
        <v>81</v>
      </c>
      <c r="E235" s="29">
        <v>-2637</v>
      </c>
      <c r="F235" s="29" t="s">
        <v>62</v>
      </c>
    </row>
    <row r="236" spans="1:6" x14ac:dyDescent="0.35">
      <c r="A236" s="30">
        <v>45870</v>
      </c>
      <c r="B236" s="29" t="s">
        <v>25</v>
      </c>
      <c r="C236" s="29" t="s">
        <v>45</v>
      </c>
      <c r="D236" s="29" t="s">
        <v>82</v>
      </c>
      <c r="E236" s="29">
        <v>-4979</v>
      </c>
      <c r="F236" s="29" t="s">
        <v>47</v>
      </c>
    </row>
    <row r="237" spans="1:6" x14ac:dyDescent="0.35">
      <c r="A237" s="30">
        <v>45870</v>
      </c>
      <c r="B237" s="29" t="s">
        <v>25</v>
      </c>
      <c r="C237" s="29" t="s">
        <v>48</v>
      </c>
      <c r="D237" s="29" t="s">
        <v>83</v>
      </c>
      <c r="E237" s="29">
        <v>-61189</v>
      </c>
      <c r="F237" s="29" t="s">
        <v>50</v>
      </c>
    </row>
    <row r="238" spans="1:6" x14ac:dyDescent="0.35">
      <c r="A238" s="30">
        <v>45870</v>
      </c>
      <c r="B238" s="29" t="s">
        <v>25</v>
      </c>
      <c r="C238" s="29" t="s">
        <v>51</v>
      </c>
      <c r="D238" s="29" t="s">
        <v>84</v>
      </c>
      <c r="E238" s="29">
        <v>0</v>
      </c>
      <c r="F238" s="29" t="s">
        <v>53</v>
      </c>
    </row>
    <row r="239" spans="1:6" x14ac:dyDescent="0.35">
      <c r="A239" s="30">
        <v>45870</v>
      </c>
      <c r="B239" s="29" t="s">
        <v>25</v>
      </c>
      <c r="C239" s="29" t="s">
        <v>54</v>
      </c>
      <c r="D239" s="29" t="s">
        <v>85</v>
      </c>
      <c r="E239" s="29">
        <v>-142774</v>
      </c>
      <c r="F239" s="29" t="s">
        <v>86</v>
      </c>
    </row>
    <row r="240" spans="1:6" x14ac:dyDescent="0.35">
      <c r="A240" s="30">
        <v>45870</v>
      </c>
      <c r="B240" s="29" t="s">
        <v>25</v>
      </c>
      <c r="C240" s="29" t="s">
        <v>57</v>
      </c>
      <c r="D240" s="29" t="s">
        <v>87</v>
      </c>
      <c r="E240" s="29">
        <v>-176225</v>
      </c>
      <c r="F240" s="29" t="s">
        <v>59</v>
      </c>
    </row>
    <row r="241" spans="1:6" x14ac:dyDescent="0.35">
      <c r="A241" s="30">
        <v>45870</v>
      </c>
      <c r="B241" s="29" t="s">
        <v>25</v>
      </c>
      <c r="C241" s="29" t="s">
        <v>60</v>
      </c>
      <c r="D241" s="29" t="s">
        <v>88</v>
      </c>
      <c r="E241" s="29">
        <v>-5694</v>
      </c>
      <c r="F241" s="29" t="s">
        <v>62</v>
      </c>
    </row>
    <row r="242" spans="1:6" x14ac:dyDescent="0.35">
      <c r="A242" s="30">
        <v>45901</v>
      </c>
      <c r="B242" s="29" t="s">
        <v>8</v>
      </c>
      <c r="C242" s="29" t="s">
        <v>45</v>
      </c>
      <c r="D242" s="29" t="s">
        <v>46</v>
      </c>
      <c r="E242" s="29">
        <v>-259280</v>
      </c>
      <c r="F242" s="29" t="s">
        <v>47</v>
      </c>
    </row>
    <row r="243" spans="1:6" x14ac:dyDescent="0.35">
      <c r="A243" s="30">
        <v>45901</v>
      </c>
      <c r="B243" s="29" t="s">
        <v>8</v>
      </c>
      <c r="C243" s="29" t="s">
        <v>48</v>
      </c>
      <c r="D243" s="29" t="s">
        <v>49</v>
      </c>
      <c r="E243" s="29">
        <v>-3685</v>
      </c>
      <c r="F243" s="29" t="s">
        <v>50</v>
      </c>
    </row>
    <row r="244" spans="1:6" x14ac:dyDescent="0.35">
      <c r="A244" s="30">
        <v>45901</v>
      </c>
      <c r="B244" s="29" t="s">
        <v>8</v>
      </c>
      <c r="C244" s="29" t="s">
        <v>51</v>
      </c>
      <c r="D244" s="29" t="s">
        <v>52</v>
      </c>
      <c r="E244" s="29">
        <v>0</v>
      </c>
      <c r="F244" s="29" t="s">
        <v>53</v>
      </c>
    </row>
    <row r="245" spans="1:6" x14ac:dyDescent="0.35">
      <c r="A245" s="30">
        <v>45901</v>
      </c>
      <c r="B245" s="29" t="s">
        <v>8</v>
      </c>
      <c r="C245" s="29" t="s">
        <v>54</v>
      </c>
      <c r="D245" s="29" t="s">
        <v>55</v>
      </c>
      <c r="E245" s="29">
        <v>0</v>
      </c>
      <c r="F245" s="29" t="s">
        <v>56</v>
      </c>
    </row>
    <row r="246" spans="1:6" x14ac:dyDescent="0.35">
      <c r="A246" s="30">
        <v>45901</v>
      </c>
      <c r="B246" s="29" t="s">
        <v>8</v>
      </c>
      <c r="C246" s="29" t="s">
        <v>57</v>
      </c>
      <c r="D246" s="29" t="s">
        <v>58</v>
      </c>
      <c r="E246" s="29">
        <v>-90913</v>
      </c>
      <c r="F246" s="29" t="s">
        <v>59</v>
      </c>
    </row>
    <row r="247" spans="1:6" x14ac:dyDescent="0.35">
      <c r="A247" s="30">
        <v>45901</v>
      </c>
      <c r="B247" s="29" t="s">
        <v>8</v>
      </c>
      <c r="C247" s="29" t="s">
        <v>60</v>
      </c>
      <c r="D247" s="29" t="s">
        <v>61</v>
      </c>
      <c r="E247" s="29">
        <v>-5870</v>
      </c>
      <c r="F247" s="29" t="s">
        <v>62</v>
      </c>
    </row>
    <row r="248" spans="1:6" x14ac:dyDescent="0.35">
      <c r="A248" s="30">
        <v>45901</v>
      </c>
      <c r="B248" s="29" t="s">
        <v>13</v>
      </c>
      <c r="C248" s="29" t="s">
        <v>45</v>
      </c>
      <c r="D248" s="29" t="s">
        <v>63</v>
      </c>
      <c r="E248" s="29">
        <v>-6405</v>
      </c>
      <c r="F248" s="29" t="s">
        <v>47</v>
      </c>
    </row>
    <row r="249" spans="1:6" x14ac:dyDescent="0.35">
      <c r="A249" s="30">
        <v>45901</v>
      </c>
      <c r="B249" s="29" t="s">
        <v>13</v>
      </c>
      <c r="C249" s="29" t="s">
        <v>48</v>
      </c>
      <c r="D249" s="29" t="s">
        <v>64</v>
      </c>
      <c r="E249" s="29">
        <v>-5965</v>
      </c>
      <c r="F249" s="29" t="s">
        <v>50</v>
      </c>
    </row>
    <row r="250" spans="1:6" x14ac:dyDescent="0.35">
      <c r="A250" s="30">
        <v>45901</v>
      </c>
      <c r="B250" s="29" t="s">
        <v>13</v>
      </c>
      <c r="C250" s="29" t="s">
        <v>51</v>
      </c>
      <c r="D250" s="29" t="s">
        <v>65</v>
      </c>
      <c r="E250" s="29">
        <v>-3107</v>
      </c>
      <c r="F250" s="29" t="s">
        <v>53</v>
      </c>
    </row>
    <row r="251" spans="1:6" x14ac:dyDescent="0.35">
      <c r="A251" s="30">
        <v>45901</v>
      </c>
      <c r="B251" s="29" t="s">
        <v>13</v>
      </c>
      <c r="C251" s="29" t="s">
        <v>54</v>
      </c>
      <c r="D251" s="29" t="s">
        <v>66</v>
      </c>
      <c r="E251" s="29">
        <v>0</v>
      </c>
      <c r="F251" s="29" t="s">
        <v>56</v>
      </c>
    </row>
    <row r="252" spans="1:6" x14ac:dyDescent="0.35">
      <c r="A252" s="30">
        <v>45901</v>
      </c>
      <c r="B252" s="29" t="s">
        <v>13</v>
      </c>
      <c r="C252" s="29" t="s">
        <v>57</v>
      </c>
      <c r="D252" s="29" t="s">
        <v>67</v>
      </c>
      <c r="E252" s="29">
        <v>-3068</v>
      </c>
      <c r="F252" s="29" t="s">
        <v>59</v>
      </c>
    </row>
    <row r="253" spans="1:6" x14ac:dyDescent="0.35">
      <c r="A253" s="30">
        <v>45901</v>
      </c>
      <c r="B253" s="29" t="s">
        <v>13</v>
      </c>
      <c r="C253" s="29" t="s">
        <v>60</v>
      </c>
      <c r="D253" s="29" t="s">
        <v>68</v>
      </c>
      <c r="E253" s="29">
        <v>-1034</v>
      </c>
      <c r="F253" s="29" t="s">
        <v>62</v>
      </c>
    </row>
    <row r="254" spans="1:6" x14ac:dyDescent="0.35">
      <c r="A254" s="30">
        <v>45901</v>
      </c>
      <c r="B254" s="29" t="s">
        <v>17</v>
      </c>
      <c r="C254" s="29" t="s">
        <v>45</v>
      </c>
      <c r="D254" s="29" t="s">
        <v>69</v>
      </c>
      <c r="E254" s="29">
        <v>-4790</v>
      </c>
      <c r="F254" s="29" t="s">
        <v>47</v>
      </c>
    </row>
    <row r="255" spans="1:6" x14ac:dyDescent="0.35">
      <c r="A255" s="30">
        <v>45901</v>
      </c>
      <c r="B255" s="29" t="s">
        <v>17</v>
      </c>
      <c r="C255" s="29" t="s">
        <v>48</v>
      </c>
      <c r="D255" s="29" t="s">
        <v>70</v>
      </c>
      <c r="E255" s="29">
        <v>125</v>
      </c>
      <c r="F255" s="29" t="s">
        <v>50</v>
      </c>
    </row>
    <row r="256" spans="1:6" x14ac:dyDescent="0.35">
      <c r="A256" s="30">
        <v>45901</v>
      </c>
      <c r="B256" s="29" t="s">
        <v>17</v>
      </c>
      <c r="C256" s="29" t="s">
        <v>51</v>
      </c>
      <c r="D256" s="29" t="s">
        <v>71</v>
      </c>
      <c r="E256" s="29">
        <v>-1740</v>
      </c>
      <c r="F256" s="29" t="s">
        <v>53</v>
      </c>
    </row>
    <row r="257" spans="1:6" x14ac:dyDescent="0.35">
      <c r="A257" s="30">
        <v>45901</v>
      </c>
      <c r="B257" s="29" t="s">
        <v>17</v>
      </c>
      <c r="C257" s="29" t="s">
        <v>54</v>
      </c>
      <c r="D257" s="29" t="s">
        <v>72</v>
      </c>
      <c r="E257" s="29">
        <v>0</v>
      </c>
      <c r="F257" s="29" t="s">
        <v>56</v>
      </c>
    </row>
    <row r="258" spans="1:6" x14ac:dyDescent="0.35">
      <c r="A258" s="30">
        <v>45901</v>
      </c>
      <c r="B258" s="29" t="s">
        <v>17</v>
      </c>
      <c r="C258" s="29" t="s">
        <v>57</v>
      </c>
      <c r="D258" s="29" t="s">
        <v>73</v>
      </c>
      <c r="E258" s="29">
        <v>-2801</v>
      </c>
      <c r="F258" s="29" t="s">
        <v>59</v>
      </c>
    </row>
    <row r="259" spans="1:6" x14ac:dyDescent="0.35">
      <c r="A259" s="30">
        <v>45901</v>
      </c>
      <c r="B259" s="29" t="s">
        <v>17</v>
      </c>
      <c r="C259" s="29" t="s">
        <v>60</v>
      </c>
      <c r="D259" s="29" t="s">
        <v>74</v>
      </c>
      <c r="E259" s="29">
        <v>-734</v>
      </c>
      <c r="F259" s="29" t="s">
        <v>62</v>
      </c>
    </row>
    <row r="260" spans="1:6" x14ac:dyDescent="0.35">
      <c r="A260" s="30">
        <v>45901</v>
      </c>
      <c r="B260" s="29" t="s">
        <v>20</v>
      </c>
      <c r="C260" s="29" t="s">
        <v>45</v>
      </c>
      <c r="D260" s="29" t="s">
        <v>75</v>
      </c>
      <c r="E260" s="29">
        <v>23352</v>
      </c>
      <c r="F260" s="29" t="s">
        <v>47</v>
      </c>
    </row>
    <row r="261" spans="1:6" x14ac:dyDescent="0.35">
      <c r="A261" s="30">
        <v>45901</v>
      </c>
      <c r="B261" s="29" t="s">
        <v>20</v>
      </c>
      <c r="C261" s="29" t="s">
        <v>48</v>
      </c>
      <c r="D261" s="29" t="s">
        <v>76</v>
      </c>
      <c r="E261" s="29">
        <v>-4996</v>
      </c>
      <c r="F261" s="29" t="s">
        <v>50</v>
      </c>
    </row>
    <row r="262" spans="1:6" x14ac:dyDescent="0.35">
      <c r="A262" s="30">
        <v>45901</v>
      </c>
      <c r="B262" s="29" t="s">
        <v>20</v>
      </c>
      <c r="C262" s="29" t="s">
        <v>51</v>
      </c>
      <c r="D262" s="29" t="s">
        <v>77</v>
      </c>
      <c r="E262" s="29">
        <v>0</v>
      </c>
      <c r="F262" s="29" t="s">
        <v>53</v>
      </c>
    </row>
    <row r="263" spans="1:6" x14ac:dyDescent="0.35">
      <c r="A263" s="30">
        <v>45901</v>
      </c>
      <c r="B263" s="29" t="s">
        <v>20</v>
      </c>
      <c r="C263" s="29" t="s">
        <v>54</v>
      </c>
      <c r="D263" s="29" t="s">
        <v>78</v>
      </c>
      <c r="E263" s="29">
        <v>-11658</v>
      </c>
      <c r="F263" s="29" t="s">
        <v>79</v>
      </c>
    </row>
    <row r="264" spans="1:6" x14ac:dyDescent="0.35">
      <c r="A264" s="30">
        <v>45901</v>
      </c>
      <c r="B264" s="29" t="s">
        <v>20</v>
      </c>
      <c r="C264" s="29" t="s">
        <v>57</v>
      </c>
      <c r="D264" s="29" t="s">
        <v>80</v>
      </c>
      <c r="E264" s="29">
        <v>-28958</v>
      </c>
      <c r="F264" s="29" t="s">
        <v>59</v>
      </c>
    </row>
    <row r="265" spans="1:6" x14ac:dyDescent="0.35">
      <c r="A265" s="30">
        <v>45901</v>
      </c>
      <c r="B265" s="29" t="s">
        <v>20</v>
      </c>
      <c r="C265" s="29" t="s">
        <v>60</v>
      </c>
      <c r="D265" s="29" t="s">
        <v>81</v>
      </c>
      <c r="E265" s="29">
        <v>-2657</v>
      </c>
      <c r="F265" s="29" t="s">
        <v>62</v>
      </c>
    </row>
    <row r="266" spans="1:6" x14ac:dyDescent="0.35">
      <c r="A266" s="30">
        <v>45901</v>
      </c>
      <c r="B266" s="29" t="s">
        <v>25</v>
      </c>
      <c r="C266" s="29" t="s">
        <v>45</v>
      </c>
      <c r="D266" s="29" t="s">
        <v>82</v>
      </c>
      <c r="E266" s="29">
        <v>-4169</v>
      </c>
      <c r="F266" s="29" t="s">
        <v>47</v>
      </c>
    </row>
    <row r="267" spans="1:6" x14ac:dyDescent="0.35">
      <c r="A267" s="30">
        <v>45901</v>
      </c>
      <c r="B267" s="29" t="s">
        <v>25</v>
      </c>
      <c r="C267" s="29" t="s">
        <v>48</v>
      </c>
      <c r="D267" s="29" t="s">
        <v>83</v>
      </c>
      <c r="E267" s="29">
        <v>-59242</v>
      </c>
      <c r="F267" s="29" t="s">
        <v>50</v>
      </c>
    </row>
    <row r="268" spans="1:6" x14ac:dyDescent="0.35">
      <c r="A268" s="30">
        <v>45901</v>
      </c>
      <c r="B268" s="29" t="s">
        <v>25</v>
      </c>
      <c r="C268" s="29" t="s">
        <v>51</v>
      </c>
      <c r="D268" s="29" t="s">
        <v>84</v>
      </c>
      <c r="E268" s="29">
        <v>0</v>
      </c>
      <c r="F268" s="29" t="s">
        <v>53</v>
      </c>
    </row>
    <row r="269" spans="1:6" x14ac:dyDescent="0.35">
      <c r="A269" s="30">
        <v>45901</v>
      </c>
      <c r="B269" s="29" t="s">
        <v>25</v>
      </c>
      <c r="C269" s="29" t="s">
        <v>54</v>
      </c>
      <c r="D269" s="29" t="s">
        <v>85</v>
      </c>
      <c r="E269" s="29">
        <v>-138231</v>
      </c>
      <c r="F269" s="29" t="s">
        <v>86</v>
      </c>
    </row>
    <row r="270" spans="1:6" x14ac:dyDescent="0.35">
      <c r="A270" s="30">
        <v>45901</v>
      </c>
      <c r="B270" s="29" t="s">
        <v>25</v>
      </c>
      <c r="C270" s="29" t="s">
        <v>57</v>
      </c>
      <c r="D270" s="29" t="s">
        <v>87</v>
      </c>
      <c r="E270" s="29">
        <v>-177464</v>
      </c>
      <c r="F270" s="29" t="s">
        <v>59</v>
      </c>
    </row>
    <row r="271" spans="1:6" x14ac:dyDescent="0.35">
      <c r="A271" s="30">
        <v>45901</v>
      </c>
      <c r="B271" s="29" t="s">
        <v>25</v>
      </c>
      <c r="C271" s="29" t="s">
        <v>60</v>
      </c>
      <c r="D271" s="29" t="s">
        <v>88</v>
      </c>
      <c r="E271" s="29">
        <v>-5693</v>
      </c>
      <c r="F271" s="29" t="s">
        <v>62</v>
      </c>
    </row>
    <row r="272" spans="1:6" x14ac:dyDescent="0.35">
      <c r="A272" s="30">
        <v>45931</v>
      </c>
      <c r="B272" s="29" t="s">
        <v>8</v>
      </c>
      <c r="C272" s="29" t="s">
        <v>45</v>
      </c>
      <c r="D272" s="29" t="s">
        <v>46</v>
      </c>
      <c r="E272" s="29">
        <v>-379436</v>
      </c>
      <c r="F272" s="29" t="s">
        <v>47</v>
      </c>
    </row>
    <row r="273" spans="1:6" x14ac:dyDescent="0.35">
      <c r="A273" s="30">
        <v>45931</v>
      </c>
      <c r="B273" s="29" t="s">
        <v>8</v>
      </c>
      <c r="C273" s="29" t="s">
        <v>48</v>
      </c>
      <c r="D273" s="29" t="s">
        <v>49</v>
      </c>
      <c r="E273" s="29">
        <v>-160859</v>
      </c>
      <c r="F273" s="29" t="s">
        <v>50</v>
      </c>
    </row>
    <row r="274" spans="1:6" x14ac:dyDescent="0.35">
      <c r="A274" s="30">
        <v>45931</v>
      </c>
      <c r="B274" s="29" t="s">
        <v>8</v>
      </c>
      <c r="C274" s="29" t="s">
        <v>51</v>
      </c>
      <c r="D274" s="29" t="s">
        <v>52</v>
      </c>
      <c r="E274" s="29">
        <v>0</v>
      </c>
      <c r="F274" s="29" t="s">
        <v>53</v>
      </c>
    </row>
    <row r="275" spans="1:6" x14ac:dyDescent="0.35">
      <c r="A275" s="30">
        <v>45931</v>
      </c>
      <c r="B275" s="29" t="s">
        <v>8</v>
      </c>
      <c r="C275" s="29" t="s">
        <v>54</v>
      </c>
      <c r="D275" s="29" t="s">
        <v>55</v>
      </c>
      <c r="E275" s="29">
        <v>0</v>
      </c>
      <c r="F275" s="29" t="s">
        <v>56</v>
      </c>
    </row>
    <row r="276" spans="1:6" x14ac:dyDescent="0.35">
      <c r="A276" s="30">
        <v>45931</v>
      </c>
      <c r="B276" s="29" t="s">
        <v>8</v>
      </c>
      <c r="C276" s="29" t="s">
        <v>57</v>
      </c>
      <c r="D276" s="29" t="s">
        <v>58</v>
      </c>
      <c r="E276" s="29">
        <v>-62821</v>
      </c>
      <c r="F276" s="29" t="s">
        <v>59</v>
      </c>
    </row>
    <row r="277" spans="1:6" x14ac:dyDescent="0.35">
      <c r="A277" s="30">
        <v>45931</v>
      </c>
      <c r="B277" s="29" t="s">
        <v>8</v>
      </c>
      <c r="C277" s="29" t="s">
        <v>60</v>
      </c>
      <c r="D277" s="29" t="s">
        <v>61</v>
      </c>
      <c r="E277" s="29">
        <v>-6027</v>
      </c>
      <c r="F277" s="29" t="s">
        <v>62</v>
      </c>
    </row>
    <row r="278" spans="1:6" x14ac:dyDescent="0.35">
      <c r="A278" s="30">
        <v>45931</v>
      </c>
      <c r="B278" s="29" t="s">
        <v>13</v>
      </c>
      <c r="C278" s="29" t="s">
        <v>45</v>
      </c>
      <c r="D278" s="29" t="s">
        <v>63</v>
      </c>
      <c r="E278" s="29">
        <v>-10907</v>
      </c>
      <c r="F278" s="29" t="s">
        <v>47</v>
      </c>
    </row>
    <row r="279" spans="1:6" x14ac:dyDescent="0.35">
      <c r="A279" s="30">
        <v>45931</v>
      </c>
      <c r="B279" s="29" t="s">
        <v>13</v>
      </c>
      <c r="C279" s="29" t="s">
        <v>48</v>
      </c>
      <c r="D279" s="29" t="s">
        <v>64</v>
      </c>
      <c r="E279" s="29">
        <v>-3127</v>
      </c>
      <c r="F279" s="29" t="s">
        <v>50</v>
      </c>
    </row>
    <row r="280" spans="1:6" x14ac:dyDescent="0.35">
      <c r="A280" s="30">
        <v>45931</v>
      </c>
      <c r="B280" s="29" t="s">
        <v>13</v>
      </c>
      <c r="C280" s="29" t="s">
        <v>51</v>
      </c>
      <c r="D280" s="29" t="s">
        <v>65</v>
      </c>
      <c r="E280" s="29">
        <v>0</v>
      </c>
      <c r="F280" s="29" t="s">
        <v>53</v>
      </c>
    </row>
    <row r="281" spans="1:6" x14ac:dyDescent="0.35">
      <c r="A281" s="30">
        <v>45931</v>
      </c>
      <c r="B281" s="29" t="s">
        <v>13</v>
      </c>
      <c r="C281" s="29" t="s">
        <v>54</v>
      </c>
      <c r="D281" s="29" t="s">
        <v>66</v>
      </c>
      <c r="E281" s="29">
        <v>0</v>
      </c>
      <c r="F281" s="29" t="s">
        <v>56</v>
      </c>
    </row>
    <row r="282" spans="1:6" x14ac:dyDescent="0.35">
      <c r="A282" s="30">
        <v>45931</v>
      </c>
      <c r="B282" s="29" t="s">
        <v>13</v>
      </c>
      <c r="C282" s="29" t="s">
        <v>57</v>
      </c>
      <c r="D282" s="29" t="s">
        <v>67</v>
      </c>
      <c r="E282" s="29">
        <v>-4628</v>
      </c>
      <c r="F282" s="29" t="s">
        <v>59</v>
      </c>
    </row>
    <row r="283" spans="1:6" x14ac:dyDescent="0.35">
      <c r="A283" s="30">
        <v>45931</v>
      </c>
      <c r="B283" s="29" t="s">
        <v>13</v>
      </c>
      <c r="C283" s="29" t="s">
        <v>60</v>
      </c>
      <c r="D283" s="29" t="s">
        <v>68</v>
      </c>
      <c r="E283" s="29">
        <v>-1029</v>
      </c>
      <c r="F283" s="29" t="s">
        <v>62</v>
      </c>
    </row>
    <row r="284" spans="1:6" x14ac:dyDescent="0.35">
      <c r="A284" s="30">
        <v>45931</v>
      </c>
      <c r="B284" s="29" t="s">
        <v>17</v>
      </c>
      <c r="C284" s="29" t="s">
        <v>45</v>
      </c>
      <c r="D284" s="29" t="s">
        <v>69</v>
      </c>
      <c r="E284" s="29">
        <v>4761</v>
      </c>
      <c r="F284" s="29" t="s">
        <v>47</v>
      </c>
    </row>
    <row r="285" spans="1:6" x14ac:dyDescent="0.35">
      <c r="A285" s="30">
        <v>45931</v>
      </c>
      <c r="B285" s="29" t="s">
        <v>17</v>
      </c>
      <c r="C285" s="29" t="s">
        <v>48</v>
      </c>
      <c r="D285" s="29" t="s">
        <v>70</v>
      </c>
      <c r="E285" s="29">
        <v>-7350</v>
      </c>
      <c r="F285" s="29" t="s">
        <v>50</v>
      </c>
    </row>
    <row r="286" spans="1:6" x14ac:dyDescent="0.35">
      <c r="A286" s="30">
        <v>45931</v>
      </c>
      <c r="B286" s="29" t="s">
        <v>17</v>
      </c>
      <c r="C286" s="29" t="s">
        <v>51</v>
      </c>
      <c r="D286" s="29" t="s">
        <v>71</v>
      </c>
      <c r="E286" s="29">
        <v>0</v>
      </c>
      <c r="F286" s="29" t="s">
        <v>53</v>
      </c>
    </row>
    <row r="287" spans="1:6" x14ac:dyDescent="0.35">
      <c r="A287" s="30">
        <v>45931</v>
      </c>
      <c r="B287" s="29" t="s">
        <v>17</v>
      </c>
      <c r="C287" s="29" t="s">
        <v>54</v>
      </c>
      <c r="D287" s="29" t="s">
        <v>72</v>
      </c>
      <c r="E287" s="29">
        <v>0</v>
      </c>
      <c r="F287" s="29" t="s">
        <v>56</v>
      </c>
    </row>
    <row r="288" spans="1:6" x14ac:dyDescent="0.35">
      <c r="A288" s="30">
        <v>45931</v>
      </c>
      <c r="B288" s="29" t="s">
        <v>17</v>
      </c>
      <c r="C288" s="29" t="s">
        <v>57</v>
      </c>
      <c r="D288" s="29" t="s">
        <v>73</v>
      </c>
      <c r="E288" s="29">
        <v>-2569</v>
      </c>
      <c r="F288" s="29" t="s">
        <v>59</v>
      </c>
    </row>
    <row r="289" spans="1:6" x14ac:dyDescent="0.35">
      <c r="A289" s="30">
        <v>45931</v>
      </c>
      <c r="B289" s="29" t="s">
        <v>17</v>
      </c>
      <c r="C289" s="29" t="s">
        <v>60</v>
      </c>
      <c r="D289" s="29" t="s">
        <v>74</v>
      </c>
      <c r="E289" s="29">
        <v>-758</v>
      </c>
      <c r="F289" s="29" t="s">
        <v>62</v>
      </c>
    </row>
    <row r="290" spans="1:6" x14ac:dyDescent="0.35">
      <c r="A290" s="30">
        <v>45931</v>
      </c>
      <c r="B290" s="29" t="s">
        <v>20</v>
      </c>
      <c r="C290" s="29" t="s">
        <v>45</v>
      </c>
      <c r="D290" s="29" t="s">
        <v>75</v>
      </c>
      <c r="E290" s="29">
        <v>48813</v>
      </c>
      <c r="F290" s="29" t="s">
        <v>47</v>
      </c>
    </row>
    <row r="291" spans="1:6" x14ac:dyDescent="0.35">
      <c r="A291" s="30">
        <v>45931</v>
      </c>
      <c r="B291" s="29" t="s">
        <v>20</v>
      </c>
      <c r="C291" s="29" t="s">
        <v>48</v>
      </c>
      <c r="D291" s="29" t="s">
        <v>76</v>
      </c>
      <c r="E291" s="29">
        <v>3071</v>
      </c>
      <c r="F291" s="29" t="s">
        <v>50</v>
      </c>
    </row>
    <row r="292" spans="1:6" x14ac:dyDescent="0.35">
      <c r="A292" s="30">
        <v>45931</v>
      </c>
      <c r="B292" s="29" t="s">
        <v>20</v>
      </c>
      <c r="C292" s="29" t="s">
        <v>51</v>
      </c>
      <c r="D292" s="29" t="s">
        <v>77</v>
      </c>
      <c r="E292" s="29">
        <v>0</v>
      </c>
      <c r="F292" s="29" t="s">
        <v>53</v>
      </c>
    </row>
    <row r="293" spans="1:6" x14ac:dyDescent="0.35">
      <c r="A293" s="30">
        <v>45931</v>
      </c>
      <c r="B293" s="29" t="s">
        <v>20</v>
      </c>
      <c r="C293" s="29" t="s">
        <v>54</v>
      </c>
      <c r="D293" s="29" t="s">
        <v>78</v>
      </c>
      <c r="E293" s="29">
        <v>7167</v>
      </c>
      <c r="F293" s="29" t="s">
        <v>79</v>
      </c>
    </row>
    <row r="294" spans="1:6" x14ac:dyDescent="0.35">
      <c r="A294" s="30">
        <v>45931</v>
      </c>
      <c r="B294" s="29" t="s">
        <v>20</v>
      </c>
      <c r="C294" s="29" t="s">
        <v>57</v>
      </c>
      <c r="D294" s="29" t="s">
        <v>80</v>
      </c>
      <c r="E294" s="29">
        <v>-29124</v>
      </c>
      <c r="F294" s="29" t="s">
        <v>59</v>
      </c>
    </row>
    <row r="295" spans="1:6" x14ac:dyDescent="0.35">
      <c r="A295" s="30">
        <v>45931</v>
      </c>
      <c r="B295" s="29" t="s">
        <v>20</v>
      </c>
      <c r="C295" s="29" t="s">
        <v>60</v>
      </c>
      <c r="D295" s="29" t="s">
        <v>81</v>
      </c>
      <c r="E295" s="29">
        <v>-2633</v>
      </c>
      <c r="F295" s="29" t="s">
        <v>62</v>
      </c>
    </row>
    <row r="296" spans="1:6" x14ac:dyDescent="0.35">
      <c r="A296" s="30">
        <v>45931</v>
      </c>
      <c r="B296" s="29" t="s">
        <v>25</v>
      </c>
      <c r="C296" s="29" t="s">
        <v>45</v>
      </c>
      <c r="D296" s="29" t="s">
        <v>82</v>
      </c>
      <c r="E296" s="29">
        <v>-2819</v>
      </c>
      <c r="F296" s="29" t="s">
        <v>47</v>
      </c>
    </row>
    <row r="297" spans="1:6" x14ac:dyDescent="0.35">
      <c r="A297" s="30">
        <v>45931</v>
      </c>
      <c r="B297" s="29" t="s">
        <v>25</v>
      </c>
      <c r="C297" s="29" t="s">
        <v>48</v>
      </c>
      <c r="D297" s="29" t="s">
        <v>83</v>
      </c>
      <c r="E297" s="29">
        <v>-64605</v>
      </c>
      <c r="F297" s="29" t="s">
        <v>50</v>
      </c>
    </row>
    <row r="298" spans="1:6" x14ac:dyDescent="0.35">
      <c r="A298" s="30">
        <v>45931</v>
      </c>
      <c r="B298" s="29" t="s">
        <v>25</v>
      </c>
      <c r="C298" s="29" t="s">
        <v>51</v>
      </c>
      <c r="D298" s="29" t="s">
        <v>84</v>
      </c>
      <c r="E298" s="29">
        <v>0</v>
      </c>
      <c r="F298" s="29" t="s">
        <v>53</v>
      </c>
    </row>
    <row r="299" spans="1:6" x14ac:dyDescent="0.35">
      <c r="A299" s="30">
        <v>45931</v>
      </c>
      <c r="B299" s="29" t="s">
        <v>25</v>
      </c>
      <c r="C299" s="29" t="s">
        <v>54</v>
      </c>
      <c r="D299" s="29" t="s">
        <v>85</v>
      </c>
      <c r="E299" s="29">
        <v>-150745</v>
      </c>
      <c r="F299" s="29" t="s">
        <v>86</v>
      </c>
    </row>
    <row r="300" spans="1:6" x14ac:dyDescent="0.35">
      <c r="A300" s="30">
        <v>45931</v>
      </c>
      <c r="B300" s="29" t="s">
        <v>25</v>
      </c>
      <c r="C300" s="29" t="s">
        <v>57</v>
      </c>
      <c r="D300" s="29" t="s">
        <v>87</v>
      </c>
      <c r="E300" s="29">
        <v>-182054</v>
      </c>
      <c r="F300" s="29" t="s">
        <v>59</v>
      </c>
    </row>
    <row r="301" spans="1:6" x14ac:dyDescent="0.35">
      <c r="A301" s="30">
        <v>45931</v>
      </c>
      <c r="B301" s="29" t="s">
        <v>25</v>
      </c>
      <c r="C301" s="29" t="s">
        <v>60</v>
      </c>
      <c r="D301" s="29" t="s">
        <v>88</v>
      </c>
      <c r="E301" s="29">
        <v>-5710</v>
      </c>
      <c r="F301" s="29" t="s">
        <v>62</v>
      </c>
    </row>
    <row r="302" spans="1:6" x14ac:dyDescent="0.35">
      <c r="A302" s="30">
        <v>45962</v>
      </c>
      <c r="B302" s="29" t="s">
        <v>8</v>
      </c>
      <c r="C302" s="29" t="s">
        <v>45</v>
      </c>
      <c r="D302" s="29" t="s">
        <v>46</v>
      </c>
      <c r="E302" s="29">
        <v>-590639</v>
      </c>
      <c r="F302" s="29" t="s">
        <v>47</v>
      </c>
    </row>
    <row r="303" spans="1:6" x14ac:dyDescent="0.35">
      <c r="A303" s="30">
        <v>45962</v>
      </c>
      <c r="B303" s="29" t="s">
        <v>8</v>
      </c>
      <c r="C303" s="29" t="s">
        <v>48</v>
      </c>
      <c r="D303" s="29" t="s">
        <v>49</v>
      </c>
      <c r="E303" s="29">
        <v>-196749</v>
      </c>
      <c r="F303" s="29" t="s">
        <v>50</v>
      </c>
    </row>
    <row r="304" spans="1:6" x14ac:dyDescent="0.35">
      <c r="A304" s="30">
        <v>45962</v>
      </c>
      <c r="B304" s="29" t="s">
        <v>8</v>
      </c>
      <c r="C304" s="29" t="s">
        <v>51</v>
      </c>
      <c r="D304" s="29" t="s">
        <v>52</v>
      </c>
      <c r="E304" s="29">
        <v>-265779</v>
      </c>
      <c r="F304" s="29" t="s">
        <v>89</v>
      </c>
    </row>
    <row r="305" spans="1:6" x14ac:dyDescent="0.35">
      <c r="A305" s="30">
        <v>45962</v>
      </c>
      <c r="B305" s="29" t="s">
        <v>8</v>
      </c>
      <c r="C305" s="29" t="s">
        <v>54</v>
      </c>
      <c r="D305" s="29" t="s">
        <v>55</v>
      </c>
      <c r="E305" s="29">
        <v>0</v>
      </c>
      <c r="F305" s="29" t="s">
        <v>56</v>
      </c>
    </row>
    <row r="306" spans="1:6" x14ac:dyDescent="0.35">
      <c r="A306" s="30">
        <v>45962</v>
      </c>
      <c r="B306" s="29" t="s">
        <v>8</v>
      </c>
      <c r="C306" s="29" t="s">
        <v>57</v>
      </c>
      <c r="D306" s="29" t="s">
        <v>58</v>
      </c>
      <c r="E306" s="29">
        <v>-224318</v>
      </c>
      <c r="F306" s="29" t="s">
        <v>59</v>
      </c>
    </row>
    <row r="307" spans="1:6" x14ac:dyDescent="0.35">
      <c r="A307" s="30">
        <v>45962</v>
      </c>
      <c r="B307" s="29" t="s">
        <v>8</v>
      </c>
      <c r="C307" s="29" t="s">
        <v>60</v>
      </c>
      <c r="D307" s="29" t="s">
        <v>61</v>
      </c>
      <c r="E307" s="29">
        <v>-6039</v>
      </c>
      <c r="F307" s="29" t="s">
        <v>62</v>
      </c>
    </row>
    <row r="308" spans="1:6" x14ac:dyDescent="0.35">
      <c r="A308" s="30">
        <v>45962</v>
      </c>
      <c r="B308" s="29" t="s">
        <v>13</v>
      </c>
      <c r="C308" s="29" t="s">
        <v>45</v>
      </c>
      <c r="D308" s="29" t="s">
        <v>63</v>
      </c>
      <c r="E308" s="29">
        <v>516</v>
      </c>
      <c r="F308" s="29" t="s">
        <v>47</v>
      </c>
    </row>
    <row r="309" spans="1:6" x14ac:dyDescent="0.35">
      <c r="A309" s="30">
        <v>45962</v>
      </c>
      <c r="B309" s="29" t="s">
        <v>13</v>
      </c>
      <c r="C309" s="29" t="s">
        <v>48</v>
      </c>
      <c r="D309" s="29" t="s">
        <v>64</v>
      </c>
      <c r="E309" s="29">
        <v>-1836</v>
      </c>
      <c r="F309" s="29" t="s">
        <v>50</v>
      </c>
    </row>
    <row r="310" spans="1:6" x14ac:dyDescent="0.35">
      <c r="A310" s="30">
        <v>45962</v>
      </c>
      <c r="B310" s="29" t="s">
        <v>13</v>
      </c>
      <c r="C310" s="29" t="s">
        <v>51</v>
      </c>
      <c r="D310" s="29" t="s">
        <v>65</v>
      </c>
      <c r="E310" s="29">
        <v>-1566</v>
      </c>
      <c r="F310" s="29" t="s">
        <v>53</v>
      </c>
    </row>
    <row r="311" spans="1:6" x14ac:dyDescent="0.35">
      <c r="A311" s="30">
        <v>45962</v>
      </c>
      <c r="B311" s="29" t="s">
        <v>13</v>
      </c>
      <c r="C311" s="29" t="s">
        <v>54</v>
      </c>
      <c r="D311" s="29" t="s">
        <v>66</v>
      </c>
      <c r="E311" s="29">
        <v>0</v>
      </c>
      <c r="F311" s="29" t="s">
        <v>56</v>
      </c>
    </row>
    <row r="312" spans="1:6" x14ac:dyDescent="0.35">
      <c r="A312" s="30">
        <v>45962</v>
      </c>
      <c r="B312" s="29" t="s">
        <v>13</v>
      </c>
      <c r="C312" s="29" t="s">
        <v>57</v>
      </c>
      <c r="D312" s="29" t="s">
        <v>67</v>
      </c>
      <c r="E312" s="29">
        <v>-3706</v>
      </c>
      <c r="F312" s="29" t="s">
        <v>59</v>
      </c>
    </row>
    <row r="313" spans="1:6" x14ac:dyDescent="0.35">
      <c r="A313" s="30">
        <v>45962</v>
      </c>
      <c r="B313" s="29" t="s">
        <v>13</v>
      </c>
      <c r="C313" s="29" t="s">
        <v>60</v>
      </c>
      <c r="D313" s="29" t="s">
        <v>68</v>
      </c>
      <c r="E313" s="29">
        <v>-1058</v>
      </c>
      <c r="F313" s="29" t="s">
        <v>62</v>
      </c>
    </row>
    <row r="314" spans="1:6" x14ac:dyDescent="0.35">
      <c r="A314" s="30">
        <v>45962</v>
      </c>
      <c r="B314" s="29" t="s">
        <v>17</v>
      </c>
      <c r="C314" s="29" t="s">
        <v>45</v>
      </c>
      <c r="D314" s="29" t="s">
        <v>69</v>
      </c>
      <c r="E314" s="29">
        <v>-3421</v>
      </c>
      <c r="F314" s="29" t="s">
        <v>47</v>
      </c>
    </row>
    <row r="315" spans="1:6" x14ac:dyDescent="0.35">
      <c r="A315" s="30">
        <v>45962</v>
      </c>
      <c r="B315" s="29" t="s">
        <v>17</v>
      </c>
      <c r="C315" s="29" t="s">
        <v>48</v>
      </c>
      <c r="D315" s="29" t="s">
        <v>70</v>
      </c>
      <c r="E315" s="29">
        <v>-3068</v>
      </c>
      <c r="F315" s="29" t="s">
        <v>50</v>
      </c>
    </row>
    <row r="316" spans="1:6" x14ac:dyDescent="0.35">
      <c r="A316" s="30">
        <v>45962</v>
      </c>
      <c r="B316" s="29" t="s">
        <v>17</v>
      </c>
      <c r="C316" s="29" t="s">
        <v>51</v>
      </c>
      <c r="D316" s="29" t="s">
        <v>71</v>
      </c>
      <c r="E316" s="29">
        <v>-877</v>
      </c>
      <c r="F316" s="29" t="s">
        <v>53</v>
      </c>
    </row>
    <row r="317" spans="1:6" x14ac:dyDescent="0.35">
      <c r="A317" s="30">
        <v>45962</v>
      </c>
      <c r="B317" s="29" t="s">
        <v>17</v>
      </c>
      <c r="C317" s="29" t="s">
        <v>54</v>
      </c>
      <c r="D317" s="29" t="s">
        <v>72</v>
      </c>
      <c r="E317" s="29">
        <v>0</v>
      </c>
      <c r="F317" s="29" t="s">
        <v>56</v>
      </c>
    </row>
    <row r="318" spans="1:6" x14ac:dyDescent="0.35">
      <c r="A318" s="30">
        <v>45962</v>
      </c>
      <c r="B318" s="29" t="s">
        <v>17</v>
      </c>
      <c r="C318" s="29" t="s">
        <v>57</v>
      </c>
      <c r="D318" s="29" t="s">
        <v>73</v>
      </c>
      <c r="E318" s="29">
        <v>-2659</v>
      </c>
      <c r="F318" s="29" t="s">
        <v>59</v>
      </c>
    </row>
    <row r="319" spans="1:6" x14ac:dyDescent="0.35">
      <c r="A319" s="30">
        <v>45962</v>
      </c>
      <c r="B319" s="29" t="s">
        <v>17</v>
      </c>
      <c r="C319" s="29" t="s">
        <v>60</v>
      </c>
      <c r="D319" s="29" t="s">
        <v>74</v>
      </c>
      <c r="E319" s="29">
        <v>-751</v>
      </c>
      <c r="F319" s="29" t="s">
        <v>62</v>
      </c>
    </row>
    <row r="320" spans="1:6" x14ac:dyDescent="0.35">
      <c r="A320" s="30">
        <v>45962</v>
      </c>
      <c r="B320" s="29" t="s">
        <v>20</v>
      </c>
      <c r="C320" s="29" t="s">
        <v>45</v>
      </c>
      <c r="D320" s="29" t="s">
        <v>75</v>
      </c>
      <c r="E320" s="29">
        <v>52208</v>
      </c>
      <c r="F320" s="29" t="s">
        <v>47</v>
      </c>
    </row>
    <row r="321" spans="1:6" x14ac:dyDescent="0.35">
      <c r="A321" s="30">
        <v>45962</v>
      </c>
      <c r="B321" s="29" t="s">
        <v>20</v>
      </c>
      <c r="C321" s="29" t="s">
        <v>48</v>
      </c>
      <c r="D321" s="29" t="s">
        <v>76</v>
      </c>
      <c r="E321" s="29">
        <v>-3436</v>
      </c>
      <c r="F321" s="29" t="s">
        <v>50</v>
      </c>
    </row>
    <row r="322" spans="1:6" x14ac:dyDescent="0.35">
      <c r="A322" s="30">
        <v>45962</v>
      </c>
      <c r="B322" s="29" t="s">
        <v>20</v>
      </c>
      <c r="C322" s="29" t="s">
        <v>51</v>
      </c>
      <c r="D322" s="29" t="s">
        <v>77</v>
      </c>
      <c r="E322" s="29">
        <v>0</v>
      </c>
      <c r="F322" s="29" t="s">
        <v>53</v>
      </c>
    </row>
    <row r="323" spans="1:6" x14ac:dyDescent="0.35">
      <c r="A323" s="30">
        <v>45962</v>
      </c>
      <c r="B323" s="29" t="s">
        <v>20</v>
      </c>
      <c r="C323" s="29" t="s">
        <v>54</v>
      </c>
      <c r="D323" s="29" t="s">
        <v>78</v>
      </c>
      <c r="E323" s="29">
        <v>-8016</v>
      </c>
      <c r="F323" s="29" t="s">
        <v>79</v>
      </c>
    </row>
    <row r="324" spans="1:6" x14ac:dyDescent="0.35">
      <c r="A324" s="30">
        <v>45962</v>
      </c>
      <c r="B324" s="29" t="s">
        <v>20</v>
      </c>
      <c r="C324" s="29" t="s">
        <v>57</v>
      </c>
      <c r="D324" s="29" t="s">
        <v>80</v>
      </c>
      <c r="E324" s="29">
        <v>-30018</v>
      </c>
      <c r="F324" s="29" t="s">
        <v>59</v>
      </c>
    </row>
    <row r="325" spans="1:6" x14ac:dyDescent="0.35">
      <c r="A325" s="30">
        <v>45962</v>
      </c>
      <c r="B325" s="29" t="s">
        <v>20</v>
      </c>
      <c r="C325" s="29" t="s">
        <v>60</v>
      </c>
      <c r="D325" s="29" t="s">
        <v>81</v>
      </c>
      <c r="E325" s="29">
        <v>-2573</v>
      </c>
      <c r="F325" s="29" t="s">
        <v>62</v>
      </c>
    </row>
    <row r="326" spans="1:6" x14ac:dyDescent="0.35">
      <c r="A326" s="30">
        <v>45962</v>
      </c>
      <c r="B326" s="29" t="s">
        <v>25</v>
      </c>
      <c r="C326" s="29" t="s">
        <v>45</v>
      </c>
      <c r="D326" s="29" t="s">
        <v>82</v>
      </c>
      <c r="E326" s="29">
        <v>-2817</v>
      </c>
      <c r="F326" s="29" t="s">
        <v>47</v>
      </c>
    </row>
    <row r="327" spans="1:6" x14ac:dyDescent="0.35">
      <c r="A327" s="30">
        <v>45962</v>
      </c>
      <c r="B327" s="29" t="s">
        <v>25</v>
      </c>
      <c r="C327" s="29" t="s">
        <v>48</v>
      </c>
      <c r="D327" s="29" t="s">
        <v>83</v>
      </c>
      <c r="E327" s="29">
        <v>-70018</v>
      </c>
      <c r="F327" s="29" t="s">
        <v>50</v>
      </c>
    </row>
    <row r="328" spans="1:6" x14ac:dyDescent="0.35">
      <c r="A328" s="30">
        <v>45962</v>
      </c>
      <c r="B328" s="29" t="s">
        <v>25</v>
      </c>
      <c r="C328" s="29" t="s">
        <v>51</v>
      </c>
      <c r="D328" s="29" t="s">
        <v>84</v>
      </c>
      <c r="E328" s="29">
        <v>0</v>
      </c>
      <c r="F328" s="29" t="s">
        <v>53</v>
      </c>
    </row>
    <row r="329" spans="1:6" x14ac:dyDescent="0.35">
      <c r="A329" s="30">
        <v>45962</v>
      </c>
      <c r="B329" s="29" t="s">
        <v>25</v>
      </c>
      <c r="C329" s="29" t="s">
        <v>54</v>
      </c>
      <c r="D329" s="29" t="s">
        <v>85</v>
      </c>
      <c r="E329" s="29">
        <v>-163375</v>
      </c>
      <c r="F329" s="29" t="s">
        <v>86</v>
      </c>
    </row>
    <row r="330" spans="1:6" x14ac:dyDescent="0.35">
      <c r="A330" s="30">
        <v>45962</v>
      </c>
      <c r="B330" s="29" t="s">
        <v>25</v>
      </c>
      <c r="C330" s="29" t="s">
        <v>57</v>
      </c>
      <c r="D330" s="29" t="s">
        <v>87</v>
      </c>
      <c r="E330" s="29">
        <v>-183104</v>
      </c>
      <c r="F330" s="29" t="s">
        <v>59</v>
      </c>
    </row>
    <row r="331" spans="1:6" x14ac:dyDescent="0.35">
      <c r="A331" s="30">
        <v>45962</v>
      </c>
      <c r="B331" s="29" t="s">
        <v>25</v>
      </c>
      <c r="C331" s="29" t="s">
        <v>60</v>
      </c>
      <c r="D331" s="29" t="s">
        <v>88</v>
      </c>
      <c r="E331" s="29">
        <v>-5703</v>
      </c>
      <c r="F331" s="29" t="s">
        <v>62</v>
      </c>
    </row>
    <row r="332" spans="1:6" x14ac:dyDescent="0.35">
      <c r="A332" s="30">
        <v>45992</v>
      </c>
      <c r="B332" s="29" t="s">
        <v>8</v>
      </c>
      <c r="C332" s="29" t="s">
        <v>45</v>
      </c>
      <c r="D332" s="29" t="s">
        <v>46</v>
      </c>
      <c r="E332" s="29">
        <v>-773729</v>
      </c>
      <c r="F332" s="29" t="s">
        <v>47</v>
      </c>
    </row>
    <row r="333" spans="1:6" x14ac:dyDescent="0.35">
      <c r="A333" s="30">
        <v>45992</v>
      </c>
      <c r="B333" s="29" t="s">
        <v>8</v>
      </c>
      <c r="C333" s="29" t="s">
        <v>48</v>
      </c>
      <c r="D333" s="29" t="s">
        <v>49</v>
      </c>
      <c r="E333" s="29">
        <v>261602</v>
      </c>
      <c r="F333" s="29" t="s">
        <v>50</v>
      </c>
    </row>
    <row r="334" spans="1:6" x14ac:dyDescent="0.35">
      <c r="A334" s="30">
        <v>45992</v>
      </c>
      <c r="B334" s="29" t="s">
        <v>8</v>
      </c>
      <c r="C334" s="29" t="s">
        <v>51</v>
      </c>
      <c r="D334" s="29" t="s">
        <v>52</v>
      </c>
      <c r="E334" s="29">
        <v>0</v>
      </c>
      <c r="F334" s="29" t="s">
        <v>53</v>
      </c>
    </row>
    <row r="335" spans="1:6" x14ac:dyDescent="0.35">
      <c r="A335" s="30">
        <v>45992</v>
      </c>
      <c r="B335" s="29" t="s">
        <v>8</v>
      </c>
      <c r="C335" s="29" t="s">
        <v>54</v>
      </c>
      <c r="D335" s="29" t="s">
        <v>55</v>
      </c>
      <c r="E335" s="29">
        <v>0</v>
      </c>
      <c r="F335" s="29" t="s">
        <v>56</v>
      </c>
    </row>
    <row r="336" spans="1:6" x14ac:dyDescent="0.35">
      <c r="A336" s="30">
        <v>45992</v>
      </c>
      <c r="B336" s="29" t="s">
        <v>8</v>
      </c>
      <c r="C336" s="29" t="s">
        <v>57</v>
      </c>
      <c r="D336" s="29" t="s">
        <v>58</v>
      </c>
      <c r="E336" s="29">
        <v>-64715</v>
      </c>
      <c r="F336" s="29" t="s">
        <v>59</v>
      </c>
    </row>
    <row r="337" spans="1:6" x14ac:dyDescent="0.35">
      <c r="A337" s="30">
        <v>45992</v>
      </c>
      <c r="B337" s="29" t="s">
        <v>8</v>
      </c>
      <c r="C337" s="29" t="s">
        <v>60</v>
      </c>
      <c r="D337" s="29" t="s">
        <v>61</v>
      </c>
      <c r="E337" s="29">
        <v>-6300</v>
      </c>
      <c r="F337" s="29" t="s">
        <v>62</v>
      </c>
    </row>
    <row r="338" spans="1:6" x14ac:dyDescent="0.35">
      <c r="A338" s="30">
        <v>45992</v>
      </c>
      <c r="B338" s="29" t="s">
        <v>13</v>
      </c>
      <c r="C338" s="29" t="s">
        <v>45</v>
      </c>
      <c r="D338" s="29" t="s">
        <v>63</v>
      </c>
      <c r="E338" s="29">
        <v>-6464</v>
      </c>
      <c r="F338" s="29" t="s">
        <v>47</v>
      </c>
    </row>
    <row r="339" spans="1:6" x14ac:dyDescent="0.35">
      <c r="A339" s="30">
        <v>45992</v>
      </c>
      <c r="B339" s="29" t="s">
        <v>13</v>
      </c>
      <c r="C339" s="29" t="s">
        <v>48</v>
      </c>
      <c r="D339" s="29" t="s">
        <v>64</v>
      </c>
      <c r="E339" s="29">
        <v>7874</v>
      </c>
      <c r="F339" s="29" t="s">
        <v>50</v>
      </c>
    </row>
    <row r="340" spans="1:6" x14ac:dyDescent="0.35">
      <c r="A340" s="30">
        <v>45992</v>
      </c>
      <c r="B340" s="29" t="s">
        <v>13</v>
      </c>
      <c r="C340" s="29" t="s">
        <v>51</v>
      </c>
      <c r="D340" s="29" t="s">
        <v>65</v>
      </c>
      <c r="E340" s="29">
        <v>0</v>
      </c>
      <c r="F340" s="29" t="s">
        <v>53</v>
      </c>
    </row>
    <row r="341" spans="1:6" x14ac:dyDescent="0.35">
      <c r="A341" s="30">
        <v>45992</v>
      </c>
      <c r="B341" s="29" t="s">
        <v>13</v>
      </c>
      <c r="C341" s="29" t="s">
        <v>54</v>
      </c>
      <c r="D341" s="29" t="s">
        <v>66</v>
      </c>
      <c r="E341" s="29">
        <v>0</v>
      </c>
      <c r="F341" s="29" t="s">
        <v>56</v>
      </c>
    </row>
    <row r="342" spans="1:6" x14ac:dyDescent="0.35">
      <c r="A342" s="30">
        <v>45992</v>
      </c>
      <c r="B342" s="29" t="s">
        <v>13</v>
      </c>
      <c r="C342" s="29" t="s">
        <v>57</v>
      </c>
      <c r="D342" s="29" t="s">
        <v>67</v>
      </c>
      <c r="E342" s="29">
        <v>-1724</v>
      </c>
      <c r="F342" s="29" t="s">
        <v>59</v>
      </c>
    </row>
    <row r="343" spans="1:6" x14ac:dyDescent="0.35">
      <c r="A343" s="30">
        <v>45992</v>
      </c>
      <c r="B343" s="29" t="s">
        <v>13</v>
      </c>
      <c r="C343" s="29" t="s">
        <v>60</v>
      </c>
      <c r="D343" s="29" t="s">
        <v>68</v>
      </c>
      <c r="E343" s="29">
        <v>-1058</v>
      </c>
      <c r="F343" s="29" t="s">
        <v>62</v>
      </c>
    </row>
    <row r="344" spans="1:6" x14ac:dyDescent="0.35">
      <c r="A344" s="30">
        <v>45992</v>
      </c>
      <c r="B344" s="29" t="s">
        <v>17</v>
      </c>
      <c r="C344" s="29" t="s">
        <v>45</v>
      </c>
      <c r="D344" s="29" t="s">
        <v>69</v>
      </c>
      <c r="E344" s="29">
        <v>-5212</v>
      </c>
      <c r="F344" s="29" t="s">
        <v>47</v>
      </c>
    </row>
    <row r="345" spans="1:6" x14ac:dyDescent="0.35">
      <c r="A345" s="30">
        <v>45992</v>
      </c>
      <c r="B345" s="29" t="s">
        <v>17</v>
      </c>
      <c r="C345" s="29" t="s">
        <v>48</v>
      </c>
      <c r="D345" s="29" t="s">
        <v>70</v>
      </c>
      <c r="E345" s="29">
        <v>3106</v>
      </c>
      <c r="F345" s="29" t="s">
        <v>50</v>
      </c>
    </row>
    <row r="346" spans="1:6" x14ac:dyDescent="0.35">
      <c r="A346" s="30">
        <v>45992</v>
      </c>
      <c r="B346" s="29" t="s">
        <v>17</v>
      </c>
      <c r="C346" s="29" t="s">
        <v>51</v>
      </c>
      <c r="D346" s="29" t="s">
        <v>71</v>
      </c>
      <c r="E346" s="29">
        <v>0</v>
      </c>
      <c r="F346" s="29" t="s">
        <v>53</v>
      </c>
    </row>
    <row r="347" spans="1:6" x14ac:dyDescent="0.35">
      <c r="A347" s="30">
        <v>45992</v>
      </c>
      <c r="B347" s="29" t="s">
        <v>17</v>
      </c>
      <c r="C347" s="29" t="s">
        <v>54</v>
      </c>
      <c r="D347" s="29" t="s">
        <v>72</v>
      </c>
      <c r="E347" s="29">
        <v>0</v>
      </c>
      <c r="F347" s="29" t="s">
        <v>56</v>
      </c>
    </row>
    <row r="348" spans="1:6" x14ac:dyDescent="0.35">
      <c r="A348" s="30">
        <v>45992</v>
      </c>
      <c r="B348" s="29" t="s">
        <v>17</v>
      </c>
      <c r="C348" s="29" t="s">
        <v>57</v>
      </c>
      <c r="D348" s="29" t="s">
        <v>73</v>
      </c>
      <c r="E348" s="29">
        <v>-959</v>
      </c>
      <c r="F348" s="29" t="s">
        <v>59</v>
      </c>
    </row>
    <row r="349" spans="1:6" x14ac:dyDescent="0.35">
      <c r="A349" s="30">
        <v>45992</v>
      </c>
      <c r="B349" s="29" t="s">
        <v>17</v>
      </c>
      <c r="C349" s="29" t="s">
        <v>60</v>
      </c>
      <c r="D349" s="29" t="s">
        <v>74</v>
      </c>
      <c r="E349" s="29">
        <v>-756</v>
      </c>
      <c r="F349" s="29" t="s">
        <v>62</v>
      </c>
    </row>
    <row r="350" spans="1:6" x14ac:dyDescent="0.35">
      <c r="A350" s="30">
        <v>45992</v>
      </c>
      <c r="B350" s="29" t="s">
        <v>20</v>
      </c>
      <c r="C350" s="29" t="s">
        <v>45</v>
      </c>
      <c r="D350" s="29" t="s">
        <v>75</v>
      </c>
      <c r="E350" s="29">
        <v>4413</v>
      </c>
      <c r="F350" s="29" t="s">
        <v>47</v>
      </c>
    </row>
    <row r="351" spans="1:6" x14ac:dyDescent="0.35">
      <c r="A351" s="30">
        <v>45992</v>
      </c>
      <c r="B351" s="29" t="s">
        <v>20</v>
      </c>
      <c r="C351" s="29" t="s">
        <v>48</v>
      </c>
      <c r="D351" s="29" t="s">
        <v>76</v>
      </c>
      <c r="E351" s="29">
        <v>296</v>
      </c>
      <c r="F351" s="29" t="s">
        <v>50</v>
      </c>
    </row>
    <row r="352" spans="1:6" x14ac:dyDescent="0.35">
      <c r="A352" s="30">
        <v>45992</v>
      </c>
      <c r="B352" s="29" t="s">
        <v>20</v>
      </c>
      <c r="C352" s="29" t="s">
        <v>51</v>
      </c>
      <c r="D352" s="29" t="s">
        <v>77</v>
      </c>
      <c r="E352" s="29">
        <v>0</v>
      </c>
      <c r="F352" s="29" t="s">
        <v>53</v>
      </c>
    </row>
    <row r="353" spans="1:6" x14ac:dyDescent="0.35">
      <c r="A353" s="30">
        <v>45992</v>
      </c>
      <c r="B353" s="29" t="s">
        <v>20</v>
      </c>
      <c r="C353" s="29" t="s">
        <v>54</v>
      </c>
      <c r="D353" s="29" t="s">
        <v>78</v>
      </c>
      <c r="E353" s="29">
        <v>690</v>
      </c>
      <c r="F353" s="29" t="s">
        <v>79</v>
      </c>
    </row>
    <row r="354" spans="1:6" x14ac:dyDescent="0.35">
      <c r="A354" s="30">
        <v>45992</v>
      </c>
      <c r="B354" s="29" t="s">
        <v>20</v>
      </c>
      <c r="C354" s="29" t="s">
        <v>57</v>
      </c>
      <c r="D354" s="29" t="s">
        <v>80</v>
      </c>
      <c r="E354" s="29">
        <v>-30185</v>
      </c>
      <c r="F354" s="29" t="s">
        <v>59</v>
      </c>
    </row>
    <row r="355" spans="1:6" x14ac:dyDescent="0.35">
      <c r="A355" s="30">
        <v>45992</v>
      </c>
      <c r="B355" s="29" t="s">
        <v>20</v>
      </c>
      <c r="C355" s="29" t="s">
        <v>60</v>
      </c>
      <c r="D355" s="29" t="s">
        <v>81</v>
      </c>
      <c r="E355" s="29">
        <v>-2672</v>
      </c>
      <c r="F355" s="29" t="s">
        <v>62</v>
      </c>
    </row>
    <row r="356" spans="1:6" x14ac:dyDescent="0.35">
      <c r="A356" s="30">
        <v>45992</v>
      </c>
      <c r="B356" s="29" t="s">
        <v>25</v>
      </c>
      <c r="C356" s="29" t="s">
        <v>45</v>
      </c>
      <c r="D356" s="29" t="s">
        <v>82</v>
      </c>
      <c r="E356" s="29">
        <v>32</v>
      </c>
      <c r="F356" s="29" t="s">
        <v>47</v>
      </c>
    </row>
    <row r="357" spans="1:6" x14ac:dyDescent="0.35">
      <c r="A357" s="30">
        <v>45992</v>
      </c>
      <c r="B357" s="29" t="s">
        <v>25</v>
      </c>
      <c r="C357" s="29" t="s">
        <v>48</v>
      </c>
      <c r="D357" s="29" t="s">
        <v>83</v>
      </c>
      <c r="E357" s="29">
        <v>-74043</v>
      </c>
      <c r="F357" s="29" t="s">
        <v>50</v>
      </c>
    </row>
    <row r="358" spans="1:6" x14ac:dyDescent="0.35">
      <c r="A358" s="30">
        <v>45992</v>
      </c>
      <c r="B358" s="29" t="s">
        <v>25</v>
      </c>
      <c r="C358" s="29" t="s">
        <v>51</v>
      </c>
      <c r="D358" s="29" t="s">
        <v>84</v>
      </c>
      <c r="E358" s="29">
        <v>0</v>
      </c>
      <c r="F358" s="29" t="s">
        <v>53</v>
      </c>
    </row>
    <row r="359" spans="1:6" x14ac:dyDescent="0.35">
      <c r="A359" s="30">
        <v>45992</v>
      </c>
      <c r="B359" s="29" t="s">
        <v>25</v>
      </c>
      <c r="C359" s="29" t="s">
        <v>54</v>
      </c>
      <c r="D359" s="29" t="s">
        <v>85</v>
      </c>
      <c r="E359" s="29">
        <v>-172766</v>
      </c>
      <c r="F359" s="29" t="s">
        <v>86</v>
      </c>
    </row>
    <row r="360" spans="1:6" x14ac:dyDescent="0.35">
      <c r="A360" s="30">
        <v>45992</v>
      </c>
      <c r="B360" s="29" t="s">
        <v>25</v>
      </c>
      <c r="C360" s="29" t="s">
        <v>57</v>
      </c>
      <c r="D360" s="29" t="s">
        <v>87</v>
      </c>
      <c r="E360" s="29">
        <v>-187882</v>
      </c>
      <c r="F360" s="29" t="s">
        <v>59</v>
      </c>
    </row>
    <row r="361" spans="1:6" x14ac:dyDescent="0.35">
      <c r="A361" s="30">
        <v>45992</v>
      </c>
      <c r="B361" s="29" t="s">
        <v>25</v>
      </c>
      <c r="C361" s="29" t="s">
        <v>60</v>
      </c>
      <c r="D361" s="29" t="s">
        <v>88</v>
      </c>
      <c r="E361" s="29">
        <v>-5703</v>
      </c>
      <c r="F361" s="29" t="s">
        <v>62</v>
      </c>
    </row>
    <row r="362" spans="1:6" x14ac:dyDescent="0.35">
      <c r="A362" s="30">
        <v>46023</v>
      </c>
      <c r="B362" s="29" t="s">
        <v>8</v>
      </c>
      <c r="C362" s="29" t="s">
        <v>45</v>
      </c>
      <c r="D362" s="29" t="s">
        <v>46</v>
      </c>
      <c r="E362" s="29">
        <v>-221791</v>
      </c>
      <c r="F362" s="29" t="s">
        <v>47</v>
      </c>
    </row>
    <row r="363" spans="1:6" x14ac:dyDescent="0.35">
      <c r="A363" s="30">
        <v>46023</v>
      </c>
      <c r="B363" s="29" t="s">
        <v>8</v>
      </c>
      <c r="C363" s="29" t="s">
        <v>48</v>
      </c>
      <c r="D363" s="29" t="s">
        <v>49</v>
      </c>
      <c r="E363" s="29">
        <v>-90391</v>
      </c>
      <c r="F363" s="29" t="s">
        <v>50</v>
      </c>
    </row>
    <row r="364" spans="1:6" x14ac:dyDescent="0.35">
      <c r="A364" s="30">
        <v>46023</v>
      </c>
      <c r="B364" s="29" t="s">
        <v>8</v>
      </c>
      <c r="C364" s="29" t="s">
        <v>51</v>
      </c>
      <c r="D364" s="29" t="s">
        <v>52</v>
      </c>
      <c r="E364" s="29">
        <v>-31596</v>
      </c>
      <c r="F364" s="29" t="s">
        <v>53</v>
      </c>
    </row>
    <row r="365" spans="1:6" x14ac:dyDescent="0.35">
      <c r="A365" s="30">
        <v>46023</v>
      </c>
      <c r="B365" s="29" t="s">
        <v>8</v>
      </c>
      <c r="C365" s="29" t="s">
        <v>54</v>
      </c>
      <c r="D365" s="29" t="s">
        <v>55</v>
      </c>
      <c r="E365" s="29">
        <v>0</v>
      </c>
      <c r="F365" s="29" t="s">
        <v>56</v>
      </c>
    </row>
    <row r="366" spans="1:6" x14ac:dyDescent="0.35">
      <c r="A366" s="30">
        <v>46023</v>
      </c>
      <c r="B366" s="29" t="s">
        <v>8</v>
      </c>
      <c r="C366" s="29" t="s">
        <v>57</v>
      </c>
      <c r="D366" s="29" t="s">
        <v>58</v>
      </c>
      <c r="E366" s="29">
        <v>-70881</v>
      </c>
      <c r="F366" s="29" t="s">
        <v>59</v>
      </c>
    </row>
    <row r="367" spans="1:6" x14ac:dyDescent="0.35">
      <c r="A367" s="30">
        <v>46023</v>
      </c>
      <c r="B367" s="29" t="s">
        <v>8</v>
      </c>
      <c r="C367" s="29" t="s">
        <v>60</v>
      </c>
      <c r="D367" s="29" t="s">
        <v>61</v>
      </c>
      <c r="E367" s="29">
        <v>-6251</v>
      </c>
      <c r="F367" s="29" t="s">
        <v>62</v>
      </c>
    </row>
    <row r="368" spans="1:6" x14ac:dyDescent="0.35">
      <c r="A368" s="30">
        <v>46023</v>
      </c>
      <c r="B368" s="29" t="s">
        <v>13</v>
      </c>
      <c r="C368" s="29" t="s">
        <v>45</v>
      </c>
      <c r="D368" s="29" t="s">
        <v>63</v>
      </c>
      <c r="E368" s="29">
        <v>4263</v>
      </c>
      <c r="F368" s="29" t="s">
        <v>47</v>
      </c>
    </row>
    <row r="369" spans="1:6" x14ac:dyDescent="0.35">
      <c r="A369" s="30">
        <v>46023</v>
      </c>
      <c r="B369" s="29" t="s">
        <v>13</v>
      </c>
      <c r="C369" s="29" t="s">
        <v>48</v>
      </c>
      <c r="D369" s="29" t="s">
        <v>64</v>
      </c>
      <c r="E369" s="29">
        <v>14392</v>
      </c>
      <c r="F369" s="29" t="s">
        <v>50</v>
      </c>
    </row>
    <row r="370" spans="1:6" x14ac:dyDescent="0.35">
      <c r="A370" s="30">
        <v>46023</v>
      </c>
      <c r="B370" s="29" t="s">
        <v>13</v>
      </c>
      <c r="C370" s="29" t="s">
        <v>51</v>
      </c>
      <c r="D370" s="29" t="s">
        <v>65</v>
      </c>
      <c r="E370" s="29">
        <v>-670</v>
      </c>
      <c r="F370" s="29" t="s">
        <v>53</v>
      </c>
    </row>
    <row r="371" spans="1:6" x14ac:dyDescent="0.35">
      <c r="A371" s="30">
        <v>46023</v>
      </c>
      <c r="B371" s="29" t="s">
        <v>13</v>
      </c>
      <c r="C371" s="29" t="s">
        <v>54</v>
      </c>
      <c r="D371" s="29" t="s">
        <v>66</v>
      </c>
      <c r="E371" s="29">
        <v>0</v>
      </c>
      <c r="F371" s="29" t="s">
        <v>56</v>
      </c>
    </row>
    <row r="372" spans="1:6" x14ac:dyDescent="0.35">
      <c r="A372" s="30">
        <v>46023</v>
      </c>
      <c r="B372" s="29" t="s">
        <v>13</v>
      </c>
      <c r="C372" s="29" t="s">
        <v>57</v>
      </c>
      <c r="D372" s="29" t="s">
        <v>67</v>
      </c>
      <c r="E372" s="29">
        <v>-1392</v>
      </c>
      <c r="F372" s="29" t="s">
        <v>59</v>
      </c>
    </row>
    <row r="373" spans="1:6" x14ac:dyDescent="0.35">
      <c r="A373" s="30">
        <v>46023</v>
      </c>
      <c r="B373" s="29" t="s">
        <v>13</v>
      </c>
      <c r="C373" s="29" t="s">
        <v>60</v>
      </c>
      <c r="D373" s="29" t="s">
        <v>68</v>
      </c>
      <c r="E373" s="29">
        <v>-1057</v>
      </c>
      <c r="F373" s="29" t="s">
        <v>62</v>
      </c>
    </row>
    <row r="374" spans="1:6" x14ac:dyDescent="0.35">
      <c r="A374" s="30">
        <v>46023</v>
      </c>
      <c r="B374" s="29" t="s">
        <v>17</v>
      </c>
      <c r="C374" s="29" t="s">
        <v>45</v>
      </c>
      <c r="D374" s="29" t="s">
        <v>69</v>
      </c>
      <c r="E374" s="29">
        <v>-3700</v>
      </c>
      <c r="F374" s="29" t="s">
        <v>47</v>
      </c>
    </row>
    <row r="375" spans="1:6" x14ac:dyDescent="0.35">
      <c r="A375" s="30">
        <v>46023</v>
      </c>
      <c r="B375" s="29" t="s">
        <v>17</v>
      </c>
      <c r="C375" s="29" t="s">
        <v>48</v>
      </c>
      <c r="D375" s="29" t="s">
        <v>70</v>
      </c>
      <c r="E375" s="29">
        <v>-3862</v>
      </c>
      <c r="F375" s="29" t="s">
        <v>50</v>
      </c>
    </row>
    <row r="376" spans="1:6" x14ac:dyDescent="0.35">
      <c r="A376" s="30">
        <v>46023</v>
      </c>
      <c r="B376" s="29" t="s">
        <v>17</v>
      </c>
      <c r="C376" s="29" t="s">
        <v>51</v>
      </c>
      <c r="D376" s="29" t="s">
        <v>71</v>
      </c>
      <c r="E376" s="29">
        <v>0</v>
      </c>
      <c r="F376" s="29" t="s">
        <v>53</v>
      </c>
    </row>
    <row r="377" spans="1:6" x14ac:dyDescent="0.35">
      <c r="A377" s="30">
        <v>46023</v>
      </c>
      <c r="B377" s="29" t="s">
        <v>17</v>
      </c>
      <c r="C377" s="29" t="s">
        <v>54</v>
      </c>
      <c r="D377" s="29" t="s">
        <v>72</v>
      </c>
      <c r="E377" s="29">
        <v>0</v>
      </c>
      <c r="F377" s="29" t="s">
        <v>56</v>
      </c>
    </row>
    <row r="378" spans="1:6" x14ac:dyDescent="0.35">
      <c r="A378" s="30">
        <v>46023</v>
      </c>
      <c r="B378" s="29" t="s">
        <v>17</v>
      </c>
      <c r="C378" s="29" t="s">
        <v>57</v>
      </c>
      <c r="D378" s="29" t="s">
        <v>73</v>
      </c>
      <c r="E378" s="29">
        <v>-1309</v>
      </c>
      <c r="F378" s="29" t="s">
        <v>59</v>
      </c>
    </row>
    <row r="379" spans="1:6" x14ac:dyDescent="0.35">
      <c r="A379" s="30">
        <v>46023</v>
      </c>
      <c r="B379" s="29" t="s">
        <v>17</v>
      </c>
      <c r="C379" s="29" t="s">
        <v>60</v>
      </c>
      <c r="D379" s="29" t="s">
        <v>74</v>
      </c>
      <c r="E379" s="29">
        <v>-748</v>
      </c>
      <c r="F379" s="29" t="s">
        <v>62</v>
      </c>
    </row>
    <row r="380" spans="1:6" x14ac:dyDescent="0.35">
      <c r="A380" s="30">
        <v>46023</v>
      </c>
      <c r="B380" s="29" t="s">
        <v>20</v>
      </c>
      <c r="C380" s="29" t="s">
        <v>45</v>
      </c>
      <c r="D380" s="29" t="s">
        <v>75</v>
      </c>
      <c r="E380" s="29">
        <v>87731</v>
      </c>
      <c r="F380" s="29" t="s">
        <v>47</v>
      </c>
    </row>
    <row r="381" spans="1:6" x14ac:dyDescent="0.35">
      <c r="A381" s="30">
        <v>46023</v>
      </c>
      <c r="B381" s="29" t="s">
        <v>20</v>
      </c>
      <c r="C381" s="29" t="s">
        <v>48</v>
      </c>
      <c r="D381" s="29" t="s">
        <v>76</v>
      </c>
      <c r="E381" s="29">
        <v>13135</v>
      </c>
      <c r="F381" s="29" t="s">
        <v>50</v>
      </c>
    </row>
    <row r="382" spans="1:6" x14ac:dyDescent="0.35">
      <c r="A382" s="30">
        <v>46023</v>
      </c>
      <c r="B382" s="29" t="s">
        <v>20</v>
      </c>
      <c r="C382" s="29" t="s">
        <v>51</v>
      </c>
      <c r="D382" s="29" t="s">
        <v>77</v>
      </c>
      <c r="E382" s="29">
        <v>0</v>
      </c>
      <c r="F382" s="29" t="s">
        <v>53</v>
      </c>
    </row>
    <row r="383" spans="1:6" x14ac:dyDescent="0.35">
      <c r="A383" s="30">
        <v>46023</v>
      </c>
      <c r="B383" s="29" t="s">
        <v>20</v>
      </c>
      <c r="C383" s="29" t="s">
        <v>54</v>
      </c>
      <c r="D383" s="29" t="s">
        <v>78</v>
      </c>
      <c r="E383" s="29">
        <v>30648</v>
      </c>
      <c r="F383" s="29" t="s">
        <v>79</v>
      </c>
    </row>
    <row r="384" spans="1:6" x14ac:dyDescent="0.35">
      <c r="A384" s="30">
        <v>46023</v>
      </c>
      <c r="B384" s="29" t="s">
        <v>20</v>
      </c>
      <c r="C384" s="29" t="s">
        <v>57</v>
      </c>
      <c r="D384" s="29" t="s">
        <v>80</v>
      </c>
      <c r="E384" s="29">
        <v>-18211</v>
      </c>
      <c r="F384" s="29" t="s">
        <v>59</v>
      </c>
    </row>
    <row r="385" spans="1:6" x14ac:dyDescent="0.35">
      <c r="A385" s="30">
        <v>46023</v>
      </c>
      <c r="B385" s="29" t="s">
        <v>20</v>
      </c>
      <c r="C385" s="29" t="s">
        <v>60</v>
      </c>
      <c r="D385" s="29" t="s">
        <v>81</v>
      </c>
      <c r="E385" s="29">
        <v>-2513</v>
      </c>
      <c r="F385" s="29" t="s">
        <v>62</v>
      </c>
    </row>
    <row r="386" spans="1:6" x14ac:dyDescent="0.35">
      <c r="A386" s="30">
        <v>46023</v>
      </c>
      <c r="B386" s="29" t="s">
        <v>25</v>
      </c>
      <c r="C386" s="29" t="s">
        <v>45</v>
      </c>
      <c r="D386" s="29" t="s">
        <v>82</v>
      </c>
      <c r="E386" s="29">
        <v>-4817</v>
      </c>
      <c r="F386" s="29" t="s">
        <v>47</v>
      </c>
    </row>
    <row r="387" spans="1:6" x14ac:dyDescent="0.35">
      <c r="A387" s="30">
        <v>46023</v>
      </c>
      <c r="B387" s="29" t="s">
        <v>25</v>
      </c>
      <c r="C387" s="29" t="s">
        <v>48</v>
      </c>
      <c r="D387" s="29" t="s">
        <v>83</v>
      </c>
      <c r="E387" s="29">
        <v>-45836</v>
      </c>
      <c r="F387" s="29" t="s">
        <v>50</v>
      </c>
    </row>
    <row r="388" spans="1:6" x14ac:dyDescent="0.35">
      <c r="A388" s="30">
        <v>46023</v>
      </c>
      <c r="B388" s="29" t="s">
        <v>25</v>
      </c>
      <c r="C388" s="29" t="s">
        <v>51</v>
      </c>
      <c r="D388" s="29" t="s">
        <v>84</v>
      </c>
      <c r="E388" s="29">
        <v>0</v>
      </c>
      <c r="F388" s="29" t="s">
        <v>53</v>
      </c>
    </row>
    <row r="389" spans="1:6" x14ac:dyDescent="0.35">
      <c r="A389" s="30">
        <v>46023</v>
      </c>
      <c r="B389" s="29" t="s">
        <v>25</v>
      </c>
      <c r="C389" s="29" t="s">
        <v>54</v>
      </c>
      <c r="D389" s="29" t="s">
        <v>85</v>
      </c>
      <c r="E389" s="29">
        <v>-106950</v>
      </c>
      <c r="F389" s="29" t="s">
        <v>86</v>
      </c>
    </row>
    <row r="390" spans="1:6" x14ac:dyDescent="0.35">
      <c r="A390" s="30">
        <v>46023</v>
      </c>
      <c r="B390" s="29" t="s">
        <v>25</v>
      </c>
      <c r="C390" s="29" t="s">
        <v>57</v>
      </c>
      <c r="D390" s="29" t="s">
        <v>87</v>
      </c>
      <c r="E390" s="29">
        <v>-149922</v>
      </c>
      <c r="F390" s="29" t="s">
        <v>59</v>
      </c>
    </row>
    <row r="391" spans="1:6" x14ac:dyDescent="0.35">
      <c r="A391" s="30">
        <v>46023</v>
      </c>
      <c r="B391" s="29" t="s">
        <v>25</v>
      </c>
      <c r="C391" s="29" t="s">
        <v>60</v>
      </c>
      <c r="D391" s="29" t="s">
        <v>88</v>
      </c>
      <c r="E391" s="29">
        <v>-5703</v>
      </c>
      <c r="F391" s="29" t="s">
        <v>62</v>
      </c>
    </row>
    <row r="392" spans="1:6" x14ac:dyDescent="0.35">
      <c r="A392" s="30">
        <v>46054</v>
      </c>
      <c r="B392" s="29" t="s">
        <v>8</v>
      </c>
      <c r="C392" s="29" t="s">
        <v>45</v>
      </c>
      <c r="D392" s="29" t="s">
        <v>46</v>
      </c>
      <c r="E392" s="29">
        <v>-214075</v>
      </c>
      <c r="F392" s="29" t="s">
        <v>47</v>
      </c>
    </row>
    <row r="393" spans="1:6" x14ac:dyDescent="0.35">
      <c r="A393" s="30">
        <v>46054</v>
      </c>
      <c r="B393" s="29" t="s">
        <v>8</v>
      </c>
      <c r="C393" s="29" t="s">
        <v>48</v>
      </c>
      <c r="D393" s="29" t="s">
        <v>49</v>
      </c>
      <c r="E393" s="29">
        <v>52058</v>
      </c>
      <c r="F393" s="29" t="s">
        <v>50</v>
      </c>
    </row>
    <row r="394" spans="1:6" x14ac:dyDescent="0.35">
      <c r="A394" s="30">
        <v>46054</v>
      </c>
      <c r="B394" s="29" t="s">
        <v>8</v>
      </c>
      <c r="C394" s="29" t="s">
        <v>51</v>
      </c>
      <c r="D394" s="29" t="s">
        <v>52</v>
      </c>
      <c r="E394" s="29">
        <v>-198705</v>
      </c>
      <c r="F394" s="29" t="s">
        <v>89</v>
      </c>
    </row>
    <row r="395" spans="1:6" x14ac:dyDescent="0.35">
      <c r="A395" s="30">
        <v>46054</v>
      </c>
      <c r="B395" s="29" t="s">
        <v>8</v>
      </c>
      <c r="C395" s="29" t="s">
        <v>54</v>
      </c>
      <c r="D395" s="29" t="s">
        <v>55</v>
      </c>
      <c r="E395" s="29">
        <v>0</v>
      </c>
      <c r="F395" s="29" t="s">
        <v>56</v>
      </c>
    </row>
    <row r="396" spans="1:6" x14ac:dyDescent="0.35">
      <c r="A396" s="30">
        <v>46054</v>
      </c>
      <c r="B396" s="29" t="s">
        <v>8</v>
      </c>
      <c r="C396" s="29" t="s">
        <v>57</v>
      </c>
      <c r="D396" s="29" t="s">
        <v>58</v>
      </c>
      <c r="E396" s="29">
        <v>-218415</v>
      </c>
      <c r="F396" s="29" t="s">
        <v>59</v>
      </c>
    </row>
    <row r="397" spans="1:6" x14ac:dyDescent="0.35">
      <c r="A397" s="30">
        <v>46054</v>
      </c>
      <c r="B397" s="29" t="s">
        <v>8</v>
      </c>
      <c r="C397" s="29" t="s">
        <v>60</v>
      </c>
      <c r="D397" s="29" t="s">
        <v>61</v>
      </c>
      <c r="E397" s="29">
        <v>-6259</v>
      </c>
      <c r="F397" s="29" t="s">
        <v>62</v>
      </c>
    </row>
    <row r="398" spans="1:6" x14ac:dyDescent="0.35">
      <c r="A398" s="30">
        <v>46054</v>
      </c>
      <c r="B398" s="29" t="s">
        <v>13</v>
      </c>
      <c r="C398" s="29" t="s">
        <v>45</v>
      </c>
      <c r="D398" s="29" t="s">
        <v>63</v>
      </c>
      <c r="E398" s="29">
        <v>-10494</v>
      </c>
      <c r="F398" s="29" t="s">
        <v>47</v>
      </c>
    </row>
    <row r="399" spans="1:6" x14ac:dyDescent="0.35">
      <c r="A399" s="30">
        <v>46054</v>
      </c>
      <c r="B399" s="29" t="s">
        <v>13</v>
      </c>
      <c r="C399" s="29" t="s">
        <v>48</v>
      </c>
      <c r="D399" s="29" t="s">
        <v>64</v>
      </c>
      <c r="E399" s="29">
        <v>18269</v>
      </c>
      <c r="F399" s="29" t="s">
        <v>50</v>
      </c>
    </row>
    <row r="400" spans="1:6" x14ac:dyDescent="0.35">
      <c r="A400" s="30">
        <v>46054</v>
      </c>
      <c r="B400" s="29" t="s">
        <v>13</v>
      </c>
      <c r="C400" s="29" t="s">
        <v>51</v>
      </c>
      <c r="D400" s="29" t="s">
        <v>65</v>
      </c>
      <c r="E400" s="29">
        <v>0</v>
      </c>
      <c r="F400" s="29" t="s">
        <v>53</v>
      </c>
    </row>
    <row r="401" spans="1:6" x14ac:dyDescent="0.35">
      <c r="A401" s="30">
        <v>46054</v>
      </c>
      <c r="B401" s="29" t="s">
        <v>13</v>
      </c>
      <c r="C401" s="29" t="s">
        <v>54</v>
      </c>
      <c r="D401" s="29" t="s">
        <v>66</v>
      </c>
      <c r="E401" s="29">
        <v>0</v>
      </c>
      <c r="F401" s="29" t="s">
        <v>56</v>
      </c>
    </row>
    <row r="402" spans="1:6" x14ac:dyDescent="0.35">
      <c r="A402" s="30">
        <v>46054</v>
      </c>
      <c r="B402" s="29" t="s">
        <v>13</v>
      </c>
      <c r="C402" s="29" t="s">
        <v>57</v>
      </c>
      <c r="D402" s="29" t="s">
        <v>67</v>
      </c>
      <c r="E402" s="29">
        <v>-1775</v>
      </c>
      <c r="F402" s="29" t="s">
        <v>59</v>
      </c>
    </row>
    <row r="403" spans="1:6" x14ac:dyDescent="0.35">
      <c r="A403" s="30">
        <v>46054</v>
      </c>
      <c r="B403" s="29" t="s">
        <v>13</v>
      </c>
      <c r="C403" s="29" t="s">
        <v>60</v>
      </c>
      <c r="D403" s="29" t="s">
        <v>68</v>
      </c>
      <c r="E403" s="29">
        <v>-1047</v>
      </c>
      <c r="F403" s="29" t="s">
        <v>62</v>
      </c>
    </row>
    <row r="404" spans="1:6" x14ac:dyDescent="0.35">
      <c r="A404" s="30">
        <v>46054</v>
      </c>
      <c r="B404" s="29" t="s">
        <v>17</v>
      </c>
      <c r="C404" s="29" t="s">
        <v>45</v>
      </c>
      <c r="D404" s="29" t="s">
        <v>69</v>
      </c>
      <c r="E404" s="29">
        <v>-644</v>
      </c>
      <c r="F404" s="29" t="s">
        <v>47</v>
      </c>
    </row>
    <row r="405" spans="1:6" x14ac:dyDescent="0.35">
      <c r="A405" s="30">
        <v>46054</v>
      </c>
      <c r="B405" s="29" t="s">
        <v>17</v>
      </c>
      <c r="C405" s="29" t="s">
        <v>48</v>
      </c>
      <c r="D405" s="29" t="s">
        <v>70</v>
      </c>
      <c r="E405" s="29">
        <v>-1351</v>
      </c>
      <c r="F405" s="29" t="s">
        <v>50</v>
      </c>
    </row>
    <row r="406" spans="1:6" x14ac:dyDescent="0.35">
      <c r="A406" s="30">
        <v>46054</v>
      </c>
      <c r="B406" s="29" t="s">
        <v>17</v>
      </c>
      <c r="C406" s="29" t="s">
        <v>51</v>
      </c>
      <c r="D406" s="29" t="s">
        <v>71</v>
      </c>
      <c r="E406" s="29">
        <v>0</v>
      </c>
      <c r="F406" s="29" t="s">
        <v>53</v>
      </c>
    </row>
    <row r="407" spans="1:6" x14ac:dyDescent="0.35">
      <c r="A407" s="30">
        <v>46054</v>
      </c>
      <c r="B407" s="29" t="s">
        <v>17</v>
      </c>
      <c r="C407" s="29" t="s">
        <v>54</v>
      </c>
      <c r="D407" s="29" t="s">
        <v>72</v>
      </c>
      <c r="E407" s="29">
        <v>0</v>
      </c>
      <c r="F407" s="29" t="s">
        <v>56</v>
      </c>
    </row>
    <row r="408" spans="1:6" x14ac:dyDescent="0.35">
      <c r="A408" s="30">
        <v>46054</v>
      </c>
      <c r="B408" s="29" t="s">
        <v>17</v>
      </c>
      <c r="C408" s="29" t="s">
        <v>57</v>
      </c>
      <c r="D408" s="29" t="s">
        <v>73</v>
      </c>
      <c r="E408" s="29">
        <v>-2215</v>
      </c>
      <c r="F408" s="29" t="s">
        <v>59</v>
      </c>
    </row>
    <row r="409" spans="1:6" x14ac:dyDescent="0.35">
      <c r="A409" s="30">
        <v>46054</v>
      </c>
      <c r="B409" s="29" t="s">
        <v>17</v>
      </c>
      <c r="C409" s="29" t="s">
        <v>60</v>
      </c>
      <c r="D409" s="29" t="s">
        <v>74</v>
      </c>
      <c r="E409" s="29">
        <v>-744</v>
      </c>
      <c r="F409" s="29" t="s">
        <v>62</v>
      </c>
    </row>
    <row r="410" spans="1:6" x14ac:dyDescent="0.35">
      <c r="A410" s="30">
        <v>46054</v>
      </c>
      <c r="B410" s="29" t="s">
        <v>20</v>
      </c>
      <c r="C410" s="29" t="s">
        <v>45</v>
      </c>
      <c r="D410" s="29" t="s">
        <v>75</v>
      </c>
      <c r="E410" s="29">
        <v>7317</v>
      </c>
      <c r="F410" s="29" t="s">
        <v>47</v>
      </c>
    </row>
    <row r="411" spans="1:6" x14ac:dyDescent="0.35">
      <c r="A411" s="30">
        <v>46054</v>
      </c>
      <c r="B411" s="29" t="s">
        <v>20</v>
      </c>
      <c r="C411" s="29" t="s">
        <v>48</v>
      </c>
      <c r="D411" s="29" t="s">
        <v>76</v>
      </c>
      <c r="E411" s="29">
        <v>9288</v>
      </c>
      <c r="F411" s="29" t="s">
        <v>50</v>
      </c>
    </row>
    <row r="412" spans="1:6" x14ac:dyDescent="0.35">
      <c r="A412" s="30">
        <v>46054</v>
      </c>
      <c r="B412" s="29" t="s">
        <v>20</v>
      </c>
      <c r="C412" s="29" t="s">
        <v>51</v>
      </c>
      <c r="D412" s="29" t="s">
        <v>77</v>
      </c>
      <c r="E412" s="29">
        <v>0</v>
      </c>
      <c r="F412" s="29" t="s">
        <v>53</v>
      </c>
    </row>
    <row r="413" spans="1:6" x14ac:dyDescent="0.35">
      <c r="A413" s="30">
        <v>46054</v>
      </c>
      <c r="B413" s="29" t="s">
        <v>20</v>
      </c>
      <c r="C413" s="29" t="s">
        <v>54</v>
      </c>
      <c r="D413" s="29" t="s">
        <v>78</v>
      </c>
      <c r="E413" s="29">
        <v>21671</v>
      </c>
      <c r="F413" s="29" t="s">
        <v>79</v>
      </c>
    </row>
    <row r="414" spans="1:6" x14ac:dyDescent="0.35">
      <c r="A414" s="30">
        <v>46054</v>
      </c>
      <c r="B414" s="29" t="s">
        <v>20</v>
      </c>
      <c r="C414" s="29" t="s">
        <v>57</v>
      </c>
      <c r="D414" s="29" t="s">
        <v>80</v>
      </c>
      <c r="E414" s="29">
        <v>-18311</v>
      </c>
      <c r="F414" s="29" t="s">
        <v>59</v>
      </c>
    </row>
    <row r="415" spans="1:6" x14ac:dyDescent="0.35">
      <c r="A415" s="30">
        <v>46054</v>
      </c>
      <c r="B415" s="29" t="s">
        <v>20</v>
      </c>
      <c r="C415" s="29" t="s">
        <v>60</v>
      </c>
      <c r="D415" s="29" t="s">
        <v>81</v>
      </c>
      <c r="E415" s="29">
        <v>-2559</v>
      </c>
      <c r="F415" s="29" t="s">
        <v>62</v>
      </c>
    </row>
    <row r="416" spans="1:6" x14ac:dyDescent="0.35">
      <c r="A416" s="30">
        <v>46054</v>
      </c>
      <c r="B416" s="29" t="s">
        <v>25</v>
      </c>
      <c r="C416" s="29" t="s">
        <v>45</v>
      </c>
      <c r="D416" s="29" t="s">
        <v>82</v>
      </c>
      <c r="E416" s="29">
        <v>3181</v>
      </c>
      <c r="F416" s="29" t="s">
        <v>47</v>
      </c>
    </row>
    <row r="417" spans="1:6" x14ac:dyDescent="0.35">
      <c r="A417" s="30">
        <v>46054</v>
      </c>
      <c r="B417" s="29" t="s">
        <v>25</v>
      </c>
      <c r="C417" s="29" t="s">
        <v>48</v>
      </c>
      <c r="D417" s="29" t="s">
        <v>83</v>
      </c>
      <c r="E417" s="29">
        <v>-43832</v>
      </c>
      <c r="F417" s="29" t="s">
        <v>50</v>
      </c>
    </row>
    <row r="418" spans="1:6" x14ac:dyDescent="0.35">
      <c r="A418" s="30">
        <v>46054</v>
      </c>
      <c r="B418" s="29" t="s">
        <v>25</v>
      </c>
      <c r="C418" s="29" t="s">
        <v>51</v>
      </c>
      <c r="D418" s="29" t="s">
        <v>84</v>
      </c>
      <c r="E418" s="29">
        <v>0</v>
      </c>
      <c r="F418" s="29" t="s">
        <v>53</v>
      </c>
    </row>
    <row r="419" spans="1:6" x14ac:dyDescent="0.35">
      <c r="A419" s="30">
        <v>46054</v>
      </c>
      <c r="B419" s="29" t="s">
        <v>25</v>
      </c>
      <c r="C419" s="29" t="s">
        <v>54</v>
      </c>
      <c r="D419" s="29" t="s">
        <v>85</v>
      </c>
      <c r="E419" s="29">
        <v>-102275</v>
      </c>
      <c r="F419" s="29" t="s">
        <v>86</v>
      </c>
    </row>
    <row r="420" spans="1:6" x14ac:dyDescent="0.35">
      <c r="A420" s="30">
        <v>46054</v>
      </c>
      <c r="B420" s="29" t="s">
        <v>25</v>
      </c>
      <c r="C420" s="29" t="s">
        <v>57</v>
      </c>
      <c r="D420" s="29" t="s">
        <v>87</v>
      </c>
      <c r="E420" s="29">
        <v>-147500</v>
      </c>
      <c r="F420" s="29" t="s">
        <v>59</v>
      </c>
    </row>
    <row r="421" spans="1:6" x14ac:dyDescent="0.35">
      <c r="A421" s="30">
        <v>46054</v>
      </c>
      <c r="B421" s="29" t="s">
        <v>25</v>
      </c>
      <c r="C421" s="29" t="s">
        <v>60</v>
      </c>
      <c r="D421" s="29" t="s">
        <v>88</v>
      </c>
      <c r="E421" s="29">
        <v>-5705</v>
      </c>
      <c r="F421" s="29" t="s">
        <v>62</v>
      </c>
    </row>
    <row r="422" spans="1:6" x14ac:dyDescent="0.35">
      <c r="A422" s="30">
        <v>46082</v>
      </c>
      <c r="B422" s="29" t="s">
        <v>8</v>
      </c>
      <c r="C422" s="29" t="s">
        <v>45</v>
      </c>
      <c r="D422" s="29" t="s">
        <v>46</v>
      </c>
      <c r="E422" s="29">
        <v>-130852</v>
      </c>
      <c r="F422" s="29" t="s">
        <v>47</v>
      </c>
    </row>
    <row r="423" spans="1:6" x14ac:dyDescent="0.35">
      <c r="A423" s="30">
        <v>46082</v>
      </c>
      <c r="B423" s="29" t="s">
        <v>8</v>
      </c>
      <c r="C423" s="29" t="s">
        <v>48</v>
      </c>
      <c r="D423" s="29" t="s">
        <v>49</v>
      </c>
      <c r="E423" s="29">
        <v>38856</v>
      </c>
      <c r="F423" s="29" t="s">
        <v>50</v>
      </c>
    </row>
    <row r="424" spans="1:6" x14ac:dyDescent="0.35">
      <c r="A424" s="30">
        <v>46082</v>
      </c>
      <c r="B424" s="29" t="s">
        <v>8</v>
      </c>
      <c r="C424" s="29" t="s">
        <v>51</v>
      </c>
      <c r="D424" s="29" t="s">
        <v>52</v>
      </c>
      <c r="E424" s="29">
        <v>0</v>
      </c>
      <c r="F424" s="29" t="s">
        <v>53</v>
      </c>
    </row>
    <row r="425" spans="1:6" x14ac:dyDescent="0.35">
      <c r="A425" s="30">
        <v>46082</v>
      </c>
      <c r="B425" s="29" t="s">
        <v>8</v>
      </c>
      <c r="C425" s="29" t="s">
        <v>54</v>
      </c>
      <c r="D425" s="29" t="s">
        <v>55</v>
      </c>
      <c r="E425" s="29">
        <v>0</v>
      </c>
      <c r="F425" s="29" t="s">
        <v>56</v>
      </c>
    </row>
    <row r="426" spans="1:6" x14ac:dyDescent="0.35">
      <c r="A426" s="30">
        <v>46082</v>
      </c>
      <c r="B426" s="29" t="s">
        <v>8</v>
      </c>
      <c r="C426" s="29" t="s">
        <v>57</v>
      </c>
      <c r="D426" s="29" t="s">
        <v>58</v>
      </c>
      <c r="E426" s="29">
        <v>-52755</v>
      </c>
      <c r="F426" s="29" t="s">
        <v>59</v>
      </c>
    </row>
    <row r="427" spans="1:6" x14ac:dyDescent="0.35">
      <c r="A427" s="30">
        <v>46082</v>
      </c>
      <c r="B427" s="29" t="s">
        <v>8</v>
      </c>
      <c r="C427" s="29" t="s">
        <v>60</v>
      </c>
      <c r="D427" s="29" t="s">
        <v>61</v>
      </c>
      <c r="E427" s="29">
        <v>-5786</v>
      </c>
      <c r="F427" s="29" t="s">
        <v>62</v>
      </c>
    </row>
    <row r="428" spans="1:6" x14ac:dyDescent="0.35">
      <c r="A428" s="30">
        <v>46082</v>
      </c>
      <c r="B428" s="29" t="s">
        <v>13</v>
      </c>
      <c r="C428" s="29" t="s">
        <v>45</v>
      </c>
      <c r="D428" s="29" t="s">
        <v>63</v>
      </c>
      <c r="E428" s="29">
        <v>-902</v>
      </c>
      <c r="F428" s="29" t="s">
        <v>47</v>
      </c>
    </row>
    <row r="429" spans="1:6" x14ac:dyDescent="0.35">
      <c r="A429" s="30">
        <v>46082</v>
      </c>
      <c r="B429" s="29" t="s">
        <v>13</v>
      </c>
      <c r="C429" s="29" t="s">
        <v>48</v>
      </c>
      <c r="D429" s="29" t="s">
        <v>64</v>
      </c>
      <c r="E429" s="29">
        <v>20159</v>
      </c>
      <c r="F429" s="29" t="s">
        <v>50</v>
      </c>
    </row>
    <row r="430" spans="1:6" x14ac:dyDescent="0.35">
      <c r="A430" s="30">
        <v>46082</v>
      </c>
      <c r="B430" s="29" t="s">
        <v>13</v>
      </c>
      <c r="C430" s="29" t="s">
        <v>51</v>
      </c>
      <c r="D430" s="29" t="s">
        <v>65</v>
      </c>
      <c r="E430" s="29">
        <v>-1290</v>
      </c>
      <c r="F430" s="29" t="s">
        <v>53</v>
      </c>
    </row>
    <row r="431" spans="1:6" x14ac:dyDescent="0.35">
      <c r="A431" s="30">
        <v>46082</v>
      </c>
      <c r="B431" s="29" t="s">
        <v>13</v>
      </c>
      <c r="C431" s="29" t="s">
        <v>54</v>
      </c>
      <c r="D431" s="29" t="s">
        <v>66</v>
      </c>
      <c r="E431" s="29">
        <v>0</v>
      </c>
      <c r="F431" s="29" t="s">
        <v>56</v>
      </c>
    </row>
    <row r="432" spans="1:6" x14ac:dyDescent="0.35">
      <c r="A432" s="30">
        <v>46082</v>
      </c>
      <c r="B432" s="29" t="s">
        <v>13</v>
      </c>
      <c r="C432" s="29" t="s">
        <v>57</v>
      </c>
      <c r="D432" s="29" t="s">
        <v>67</v>
      </c>
      <c r="E432" s="29">
        <v>-2427</v>
      </c>
      <c r="F432" s="29" t="s">
        <v>59</v>
      </c>
    </row>
    <row r="433" spans="1:6" x14ac:dyDescent="0.35">
      <c r="A433" s="30">
        <v>46082</v>
      </c>
      <c r="B433" s="29" t="s">
        <v>13</v>
      </c>
      <c r="C433" s="29" t="s">
        <v>60</v>
      </c>
      <c r="D433" s="29" t="s">
        <v>68</v>
      </c>
      <c r="E433" s="29">
        <v>-1035</v>
      </c>
      <c r="F433" s="29" t="s">
        <v>62</v>
      </c>
    </row>
    <row r="434" spans="1:6" x14ac:dyDescent="0.35">
      <c r="A434" s="30">
        <v>46082</v>
      </c>
      <c r="B434" s="29" t="s">
        <v>17</v>
      </c>
      <c r="C434" s="29" t="s">
        <v>45</v>
      </c>
      <c r="D434" s="29" t="s">
        <v>69</v>
      </c>
      <c r="E434" s="29">
        <v>-9077</v>
      </c>
      <c r="F434" s="29" t="s">
        <v>47</v>
      </c>
    </row>
    <row r="435" spans="1:6" x14ac:dyDescent="0.35">
      <c r="A435" s="30">
        <v>46082</v>
      </c>
      <c r="B435" s="29" t="s">
        <v>17</v>
      </c>
      <c r="C435" s="29" t="s">
        <v>48</v>
      </c>
      <c r="D435" s="29" t="s">
        <v>70</v>
      </c>
      <c r="E435" s="29">
        <v>5636</v>
      </c>
      <c r="F435" s="29" t="s">
        <v>50</v>
      </c>
    </row>
    <row r="436" spans="1:6" x14ac:dyDescent="0.35">
      <c r="A436" s="30">
        <v>46082</v>
      </c>
      <c r="B436" s="29" t="s">
        <v>17</v>
      </c>
      <c r="C436" s="29" t="s">
        <v>51</v>
      </c>
      <c r="D436" s="29" t="s">
        <v>71</v>
      </c>
      <c r="E436" s="29">
        <v>-1445</v>
      </c>
      <c r="F436" s="29" t="s">
        <v>53</v>
      </c>
    </row>
    <row r="437" spans="1:6" x14ac:dyDescent="0.35">
      <c r="A437" s="30">
        <v>46082</v>
      </c>
      <c r="B437" s="29" t="s">
        <v>17</v>
      </c>
      <c r="C437" s="29" t="s">
        <v>54</v>
      </c>
      <c r="D437" s="29" t="s">
        <v>72</v>
      </c>
      <c r="E437" s="29">
        <v>0</v>
      </c>
      <c r="F437" s="29" t="s">
        <v>56</v>
      </c>
    </row>
    <row r="438" spans="1:6" x14ac:dyDescent="0.35">
      <c r="A438" s="30">
        <v>46082</v>
      </c>
      <c r="B438" s="29" t="s">
        <v>17</v>
      </c>
      <c r="C438" s="29" t="s">
        <v>57</v>
      </c>
      <c r="D438" s="29" t="s">
        <v>73</v>
      </c>
      <c r="E438" s="29">
        <v>-2852</v>
      </c>
      <c r="F438" s="29" t="s">
        <v>59</v>
      </c>
    </row>
    <row r="439" spans="1:6" x14ac:dyDescent="0.35">
      <c r="A439" s="30">
        <v>46082</v>
      </c>
      <c r="B439" s="29" t="s">
        <v>17</v>
      </c>
      <c r="C439" s="29" t="s">
        <v>60</v>
      </c>
      <c r="D439" s="29" t="s">
        <v>74</v>
      </c>
      <c r="E439" s="29">
        <v>-760</v>
      </c>
      <c r="F439" s="29" t="s">
        <v>62</v>
      </c>
    </row>
    <row r="440" spans="1:6" x14ac:dyDescent="0.35">
      <c r="A440" s="30">
        <v>46082</v>
      </c>
      <c r="B440" s="29" t="s">
        <v>20</v>
      </c>
      <c r="C440" s="29" t="s">
        <v>45</v>
      </c>
      <c r="D440" s="29" t="s">
        <v>75</v>
      </c>
      <c r="E440" s="29">
        <v>-16026</v>
      </c>
      <c r="F440" s="29" t="s">
        <v>47</v>
      </c>
    </row>
    <row r="441" spans="1:6" x14ac:dyDescent="0.35">
      <c r="A441" s="30">
        <v>46082</v>
      </c>
      <c r="B441" s="29" t="s">
        <v>20</v>
      </c>
      <c r="C441" s="29" t="s">
        <v>48</v>
      </c>
      <c r="D441" s="29" t="s">
        <v>76</v>
      </c>
      <c r="E441" s="29">
        <v>-2405</v>
      </c>
      <c r="F441" s="29" t="s">
        <v>50</v>
      </c>
    </row>
    <row r="442" spans="1:6" x14ac:dyDescent="0.35">
      <c r="A442" s="30">
        <v>46082</v>
      </c>
      <c r="B442" s="29" t="s">
        <v>20</v>
      </c>
      <c r="C442" s="29" t="s">
        <v>51</v>
      </c>
      <c r="D442" s="29" t="s">
        <v>77</v>
      </c>
      <c r="E442" s="29">
        <v>0</v>
      </c>
      <c r="F442" s="29" t="s">
        <v>53</v>
      </c>
    </row>
    <row r="443" spans="1:6" x14ac:dyDescent="0.35">
      <c r="A443" s="30">
        <v>46082</v>
      </c>
      <c r="B443" s="29" t="s">
        <v>20</v>
      </c>
      <c r="C443" s="29" t="s">
        <v>54</v>
      </c>
      <c r="D443" s="29" t="s">
        <v>78</v>
      </c>
      <c r="E443" s="29">
        <v>-5613</v>
      </c>
      <c r="F443" s="29" t="s">
        <v>79</v>
      </c>
    </row>
    <row r="444" spans="1:6" x14ac:dyDescent="0.35">
      <c r="A444" s="30">
        <v>46082</v>
      </c>
      <c r="B444" s="29" t="s">
        <v>20</v>
      </c>
      <c r="C444" s="29" t="s">
        <v>57</v>
      </c>
      <c r="D444" s="29" t="s">
        <v>80</v>
      </c>
      <c r="E444" s="29">
        <v>-17974</v>
      </c>
      <c r="F444" s="29" t="s">
        <v>59</v>
      </c>
    </row>
    <row r="445" spans="1:6" x14ac:dyDescent="0.35">
      <c r="A445" s="30">
        <v>46082</v>
      </c>
      <c r="B445" s="29" t="s">
        <v>20</v>
      </c>
      <c r="C445" s="29" t="s">
        <v>60</v>
      </c>
      <c r="D445" s="29" t="s">
        <v>81</v>
      </c>
      <c r="E445" s="29">
        <v>-2545</v>
      </c>
      <c r="F445" s="29" t="s">
        <v>62</v>
      </c>
    </row>
    <row r="446" spans="1:6" x14ac:dyDescent="0.35">
      <c r="A446" s="30">
        <v>46082</v>
      </c>
      <c r="B446" s="29" t="s">
        <v>25</v>
      </c>
      <c r="C446" s="29" t="s">
        <v>45</v>
      </c>
      <c r="D446" s="29" t="s">
        <v>82</v>
      </c>
      <c r="E446" s="29">
        <v>-11154</v>
      </c>
      <c r="F446" s="29" t="s">
        <v>47</v>
      </c>
    </row>
    <row r="447" spans="1:6" x14ac:dyDescent="0.35">
      <c r="A447" s="30">
        <v>46082</v>
      </c>
      <c r="B447" s="29" t="s">
        <v>25</v>
      </c>
      <c r="C447" s="29" t="s">
        <v>48</v>
      </c>
      <c r="D447" s="29" t="s">
        <v>83</v>
      </c>
      <c r="E447" s="29">
        <v>-44590</v>
      </c>
      <c r="F447" s="29" t="s">
        <v>50</v>
      </c>
    </row>
    <row r="448" spans="1:6" x14ac:dyDescent="0.35">
      <c r="A448" s="30">
        <v>46082</v>
      </c>
      <c r="B448" s="29" t="s">
        <v>25</v>
      </c>
      <c r="C448" s="29" t="s">
        <v>51</v>
      </c>
      <c r="D448" s="29" t="s">
        <v>84</v>
      </c>
      <c r="E448" s="29">
        <v>0</v>
      </c>
      <c r="F448" s="29" t="s">
        <v>53</v>
      </c>
    </row>
    <row r="449" spans="1:6" x14ac:dyDescent="0.35">
      <c r="A449" s="30">
        <v>46082</v>
      </c>
      <c r="B449" s="29" t="s">
        <v>25</v>
      </c>
      <c r="C449" s="29" t="s">
        <v>54</v>
      </c>
      <c r="D449" s="29" t="s">
        <v>85</v>
      </c>
      <c r="E449" s="29">
        <v>-104043</v>
      </c>
      <c r="F449" s="29" t="s">
        <v>86</v>
      </c>
    </row>
    <row r="450" spans="1:6" x14ac:dyDescent="0.35">
      <c r="A450" s="30">
        <v>46082</v>
      </c>
      <c r="B450" s="29" t="s">
        <v>25</v>
      </c>
      <c r="C450" s="29" t="s">
        <v>57</v>
      </c>
      <c r="D450" s="29" t="s">
        <v>87</v>
      </c>
      <c r="E450" s="29">
        <v>-153929</v>
      </c>
      <c r="F450" s="29" t="s">
        <v>59</v>
      </c>
    </row>
    <row r="451" spans="1:6" x14ac:dyDescent="0.35">
      <c r="A451" s="30">
        <v>46082</v>
      </c>
      <c r="B451" s="29" t="s">
        <v>25</v>
      </c>
      <c r="C451" s="29" t="s">
        <v>60</v>
      </c>
      <c r="D451" s="29" t="s">
        <v>88</v>
      </c>
      <c r="E451" s="29">
        <v>-5697</v>
      </c>
      <c r="F451" s="29" t="s">
        <v>62</v>
      </c>
    </row>
    <row r="452" spans="1:6" x14ac:dyDescent="0.35">
      <c r="A452" s="30">
        <v>46113</v>
      </c>
      <c r="B452" s="29" t="s">
        <v>8</v>
      </c>
      <c r="C452" s="29" t="s">
        <v>45</v>
      </c>
      <c r="D452" s="29" t="s">
        <v>46</v>
      </c>
      <c r="E452" s="29">
        <v>-80363</v>
      </c>
      <c r="F452" s="29" t="s">
        <v>47</v>
      </c>
    </row>
    <row r="453" spans="1:6" x14ac:dyDescent="0.35">
      <c r="A453" s="30">
        <v>46113</v>
      </c>
      <c r="B453" s="29" t="s">
        <v>8</v>
      </c>
      <c r="C453" s="29" t="s">
        <v>48</v>
      </c>
      <c r="D453" s="29" t="s">
        <v>49</v>
      </c>
      <c r="E453" s="29">
        <v>-84636</v>
      </c>
      <c r="F453" s="29" t="s">
        <v>50</v>
      </c>
    </row>
    <row r="454" spans="1:6" x14ac:dyDescent="0.35">
      <c r="A454" s="30">
        <v>46113</v>
      </c>
      <c r="B454" s="29" t="s">
        <v>8</v>
      </c>
      <c r="C454" s="29" t="s">
        <v>51</v>
      </c>
      <c r="D454" s="29" t="s">
        <v>52</v>
      </c>
      <c r="E454" s="29">
        <v>0</v>
      </c>
      <c r="F454" s="29" t="s">
        <v>53</v>
      </c>
    </row>
    <row r="455" spans="1:6" x14ac:dyDescent="0.35">
      <c r="A455" s="30">
        <v>46113</v>
      </c>
      <c r="B455" s="29" t="s">
        <v>8</v>
      </c>
      <c r="C455" s="29" t="s">
        <v>54</v>
      </c>
      <c r="D455" s="29" t="s">
        <v>55</v>
      </c>
      <c r="E455" s="29">
        <v>0</v>
      </c>
      <c r="F455" s="29" t="s">
        <v>56</v>
      </c>
    </row>
    <row r="456" spans="1:6" x14ac:dyDescent="0.35">
      <c r="A456" s="30">
        <v>46113</v>
      </c>
      <c r="B456" s="29" t="s">
        <v>8</v>
      </c>
      <c r="C456" s="29" t="s">
        <v>57</v>
      </c>
      <c r="D456" s="29" t="s">
        <v>58</v>
      </c>
      <c r="E456" s="29">
        <v>-97785</v>
      </c>
      <c r="F456" s="29" t="s">
        <v>59</v>
      </c>
    </row>
    <row r="457" spans="1:6" x14ac:dyDescent="0.35">
      <c r="A457" s="30">
        <v>46113</v>
      </c>
      <c r="B457" s="29" t="s">
        <v>8</v>
      </c>
      <c r="C457" s="29" t="s">
        <v>60</v>
      </c>
      <c r="D457" s="29" t="s">
        <v>61</v>
      </c>
      <c r="E457" s="29">
        <v>-5809</v>
      </c>
      <c r="F457" s="29" t="s">
        <v>62</v>
      </c>
    </row>
    <row r="458" spans="1:6" x14ac:dyDescent="0.35">
      <c r="A458" s="30">
        <v>46113</v>
      </c>
      <c r="B458" s="29" t="s">
        <v>13</v>
      </c>
      <c r="C458" s="29" t="s">
        <v>45</v>
      </c>
      <c r="D458" s="29" t="s">
        <v>63</v>
      </c>
      <c r="E458" s="29">
        <v>-16451</v>
      </c>
      <c r="F458" s="29" t="s">
        <v>47</v>
      </c>
    </row>
    <row r="459" spans="1:6" x14ac:dyDescent="0.35">
      <c r="A459" s="30">
        <v>46113</v>
      </c>
      <c r="B459" s="29" t="s">
        <v>13</v>
      </c>
      <c r="C459" s="29" t="s">
        <v>48</v>
      </c>
      <c r="D459" s="29" t="s">
        <v>64</v>
      </c>
      <c r="E459" s="29">
        <v>31275</v>
      </c>
      <c r="F459" s="29" t="s">
        <v>50</v>
      </c>
    </row>
    <row r="460" spans="1:6" x14ac:dyDescent="0.35">
      <c r="A460" s="30">
        <v>46113</v>
      </c>
      <c r="B460" s="29" t="s">
        <v>13</v>
      </c>
      <c r="C460" s="29" t="s">
        <v>51</v>
      </c>
      <c r="D460" s="29" t="s">
        <v>65</v>
      </c>
      <c r="E460" s="29">
        <v>0</v>
      </c>
      <c r="F460" s="29" t="s">
        <v>53</v>
      </c>
    </row>
    <row r="461" spans="1:6" x14ac:dyDescent="0.35">
      <c r="A461" s="30">
        <v>46113</v>
      </c>
      <c r="B461" s="29" t="s">
        <v>13</v>
      </c>
      <c r="C461" s="29" t="s">
        <v>54</v>
      </c>
      <c r="D461" s="29" t="s">
        <v>66</v>
      </c>
      <c r="E461" s="29">
        <v>0</v>
      </c>
      <c r="F461" s="29" t="s">
        <v>56</v>
      </c>
    </row>
    <row r="462" spans="1:6" x14ac:dyDescent="0.35">
      <c r="A462" s="30">
        <v>46113</v>
      </c>
      <c r="B462" s="29" t="s">
        <v>13</v>
      </c>
      <c r="C462" s="29" t="s">
        <v>57</v>
      </c>
      <c r="D462" s="29" t="s">
        <v>67</v>
      </c>
      <c r="E462" s="29">
        <v>-2511</v>
      </c>
      <c r="F462" s="29" t="s">
        <v>59</v>
      </c>
    </row>
    <row r="463" spans="1:6" x14ac:dyDescent="0.35">
      <c r="A463" s="30">
        <v>46113</v>
      </c>
      <c r="B463" s="29" t="s">
        <v>13</v>
      </c>
      <c r="C463" s="29" t="s">
        <v>60</v>
      </c>
      <c r="D463" s="29" t="s">
        <v>68</v>
      </c>
      <c r="E463" s="29">
        <v>-1066</v>
      </c>
      <c r="F463" s="29" t="s">
        <v>62</v>
      </c>
    </row>
    <row r="464" spans="1:6" x14ac:dyDescent="0.35">
      <c r="A464" s="30">
        <v>46113</v>
      </c>
      <c r="B464" s="29" t="s">
        <v>17</v>
      </c>
      <c r="C464" s="29" t="s">
        <v>45</v>
      </c>
      <c r="D464" s="29" t="s">
        <v>69</v>
      </c>
      <c r="E464" s="29">
        <v>1682</v>
      </c>
      <c r="F464" s="29" t="s">
        <v>47</v>
      </c>
    </row>
    <row r="465" spans="1:6" x14ac:dyDescent="0.35">
      <c r="A465" s="30">
        <v>46113</v>
      </c>
      <c r="B465" s="29" t="s">
        <v>17</v>
      </c>
      <c r="C465" s="29" t="s">
        <v>48</v>
      </c>
      <c r="D465" s="29" t="s">
        <v>70</v>
      </c>
      <c r="E465" s="29">
        <v>19783</v>
      </c>
      <c r="F465" s="29" t="s">
        <v>50</v>
      </c>
    </row>
    <row r="466" spans="1:6" x14ac:dyDescent="0.35">
      <c r="A466" s="30">
        <v>46113</v>
      </c>
      <c r="B466" s="29" t="s">
        <v>17</v>
      </c>
      <c r="C466" s="29" t="s">
        <v>51</v>
      </c>
      <c r="D466" s="29" t="s">
        <v>71</v>
      </c>
      <c r="E466" s="29">
        <v>-1772</v>
      </c>
      <c r="F466" s="29" t="s">
        <v>53</v>
      </c>
    </row>
    <row r="467" spans="1:6" x14ac:dyDescent="0.35">
      <c r="A467" s="30">
        <v>46113</v>
      </c>
      <c r="B467" s="29" t="s">
        <v>17</v>
      </c>
      <c r="C467" s="29" t="s">
        <v>54</v>
      </c>
      <c r="D467" s="29" t="s">
        <v>72</v>
      </c>
      <c r="E467" s="29">
        <v>0</v>
      </c>
      <c r="F467" s="29" t="s">
        <v>56</v>
      </c>
    </row>
    <row r="468" spans="1:6" x14ac:dyDescent="0.35">
      <c r="A468" s="30">
        <v>46113</v>
      </c>
      <c r="B468" s="29" t="s">
        <v>17</v>
      </c>
      <c r="C468" s="29" t="s">
        <v>57</v>
      </c>
      <c r="D468" s="29" t="s">
        <v>73</v>
      </c>
      <c r="E468" s="29">
        <v>-2953</v>
      </c>
      <c r="F468" s="29" t="s">
        <v>59</v>
      </c>
    </row>
    <row r="469" spans="1:6" x14ac:dyDescent="0.35">
      <c r="A469" s="30">
        <v>46113</v>
      </c>
      <c r="B469" s="29" t="s">
        <v>17</v>
      </c>
      <c r="C469" s="29" t="s">
        <v>60</v>
      </c>
      <c r="D469" s="29" t="s">
        <v>74</v>
      </c>
      <c r="E469" s="29">
        <v>-755</v>
      </c>
      <c r="F469" s="29" t="s">
        <v>62</v>
      </c>
    </row>
    <row r="470" spans="1:6" x14ac:dyDescent="0.35">
      <c r="A470" s="30">
        <v>46113</v>
      </c>
      <c r="B470" s="29" t="s">
        <v>20</v>
      </c>
      <c r="C470" s="29" t="s">
        <v>45</v>
      </c>
      <c r="D470" s="29" t="s">
        <v>75</v>
      </c>
      <c r="E470" s="29">
        <v>84709</v>
      </c>
      <c r="F470" s="29" t="s">
        <v>47</v>
      </c>
    </row>
    <row r="471" spans="1:6" x14ac:dyDescent="0.35">
      <c r="A471" s="30">
        <v>46113</v>
      </c>
      <c r="B471" s="29" t="s">
        <v>20</v>
      </c>
      <c r="C471" s="29" t="s">
        <v>48</v>
      </c>
      <c r="D471" s="29" t="s">
        <v>76</v>
      </c>
      <c r="E471" s="29">
        <v>16859</v>
      </c>
      <c r="F471" s="29" t="s">
        <v>50</v>
      </c>
    </row>
    <row r="472" spans="1:6" x14ac:dyDescent="0.35">
      <c r="A472" s="30">
        <v>46113</v>
      </c>
      <c r="B472" s="29" t="s">
        <v>20</v>
      </c>
      <c r="C472" s="29" t="s">
        <v>51</v>
      </c>
      <c r="D472" s="29" t="s">
        <v>77</v>
      </c>
      <c r="E472" s="29">
        <v>0</v>
      </c>
      <c r="F472" s="29" t="s">
        <v>53</v>
      </c>
    </row>
    <row r="473" spans="1:6" x14ac:dyDescent="0.35">
      <c r="A473" s="30">
        <v>46113</v>
      </c>
      <c r="B473" s="29" t="s">
        <v>20</v>
      </c>
      <c r="C473" s="29" t="s">
        <v>54</v>
      </c>
      <c r="D473" s="29" t="s">
        <v>78</v>
      </c>
      <c r="E473" s="29">
        <v>39338</v>
      </c>
      <c r="F473" s="29" t="s">
        <v>79</v>
      </c>
    </row>
    <row r="474" spans="1:6" x14ac:dyDescent="0.35">
      <c r="A474" s="30">
        <v>46113</v>
      </c>
      <c r="B474" s="29" t="s">
        <v>20</v>
      </c>
      <c r="C474" s="29" t="s">
        <v>57</v>
      </c>
      <c r="D474" s="29" t="s">
        <v>80</v>
      </c>
      <c r="E474" s="29">
        <v>-18073</v>
      </c>
      <c r="F474" s="29" t="s">
        <v>59</v>
      </c>
    </row>
    <row r="475" spans="1:6" x14ac:dyDescent="0.35">
      <c r="A475" s="30">
        <v>46113</v>
      </c>
      <c r="B475" s="29" t="s">
        <v>20</v>
      </c>
      <c r="C475" s="29" t="s">
        <v>60</v>
      </c>
      <c r="D475" s="29" t="s">
        <v>81</v>
      </c>
      <c r="E475" s="29">
        <v>-2658</v>
      </c>
      <c r="F475" s="29" t="s">
        <v>62</v>
      </c>
    </row>
    <row r="476" spans="1:6" x14ac:dyDescent="0.35">
      <c r="A476" s="30">
        <v>46113</v>
      </c>
      <c r="B476" s="29" t="s">
        <v>25</v>
      </c>
      <c r="C476" s="29" t="s">
        <v>45</v>
      </c>
      <c r="D476" s="29" t="s">
        <v>82</v>
      </c>
      <c r="E476" s="29">
        <v>-14143</v>
      </c>
      <c r="F476" s="29" t="s">
        <v>47</v>
      </c>
    </row>
    <row r="477" spans="1:6" x14ac:dyDescent="0.35">
      <c r="A477" s="30">
        <v>46113</v>
      </c>
      <c r="B477" s="29" t="s">
        <v>25</v>
      </c>
      <c r="C477" s="29" t="s">
        <v>48</v>
      </c>
      <c r="D477" s="29" t="s">
        <v>83</v>
      </c>
      <c r="E477" s="29">
        <v>-39446</v>
      </c>
      <c r="F477" s="29" t="s">
        <v>50</v>
      </c>
    </row>
    <row r="478" spans="1:6" x14ac:dyDescent="0.35">
      <c r="A478" s="30">
        <v>46113</v>
      </c>
      <c r="B478" s="29" t="s">
        <v>25</v>
      </c>
      <c r="C478" s="29" t="s">
        <v>51</v>
      </c>
      <c r="D478" s="29" t="s">
        <v>84</v>
      </c>
      <c r="E478" s="29">
        <v>0</v>
      </c>
      <c r="F478" s="29" t="s">
        <v>53</v>
      </c>
    </row>
    <row r="479" spans="1:6" x14ac:dyDescent="0.35">
      <c r="A479" s="30">
        <v>46113</v>
      </c>
      <c r="B479" s="29" t="s">
        <v>25</v>
      </c>
      <c r="C479" s="29" t="s">
        <v>54</v>
      </c>
      <c r="D479" s="29" t="s">
        <v>85</v>
      </c>
      <c r="E479" s="29">
        <v>-92041</v>
      </c>
      <c r="F479" s="29" t="s">
        <v>86</v>
      </c>
    </row>
    <row r="480" spans="1:6" x14ac:dyDescent="0.35">
      <c r="A480" s="30">
        <v>46113</v>
      </c>
      <c r="B480" s="29" t="s">
        <v>25</v>
      </c>
      <c r="C480" s="29" t="s">
        <v>57</v>
      </c>
      <c r="D480" s="29" t="s">
        <v>87</v>
      </c>
      <c r="E480" s="29">
        <v>-154328</v>
      </c>
      <c r="F480" s="29" t="s">
        <v>59</v>
      </c>
    </row>
    <row r="481" spans="1:6" x14ac:dyDescent="0.35">
      <c r="A481" s="30">
        <v>46113</v>
      </c>
      <c r="B481" s="29" t="s">
        <v>25</v>
      </c>
      <c r="C481" s="29" t="s">
        <v>60</v>
      </c>
      <c r="D481" s="29" t="s">
        <v>88</v>
      </c>
      <c r="E481" s="29">
        <v>-5692</v>
      </c>
      <c r="F481" s="29" t="s">
        <v>62</v>
      </c>
    </row>
    <row r="482" spans="1:6" x14ac:dyDescent="0.35">
      <c r="A482" s="30">
        <v>46143</v>
      </c>
      <c r="B482" s="29" t="s">
        <v>8</v>
      </c>
      <c r="C482" s="29" t="s">
        <v>45</v>
      </c>
      <c r="D482" s="29" t="s">
        <v>46</v>
      </c>
      <c r="E482" s="29">
        <v>-171599</v>
      </c>
      <c r="F482" s="29" t="s">
        <v>47</v>
      </c>
    </row>
    <row r="483" spans="1:6" x14ac:dyDescent="0.35">
      <c r="A483" s="30">
        <v>46143</v>
      </c>
      <c r="B483" s="29" t="s">
        <v>8</v>
      </c>
      <c r="C483" s="29" t="s">
        <v>48</v>
      </c>
      <c r="D483" s="29" t="s">
        <v>49</v>
      </c>
      <c r="E483" s="29">
        <v>74460</v>
      </c>
      <c r="F483" s="29" t="s">
        <v>50</v>
      </c>
    </row>
    <row r="484" spans="1:6" x14ac:dyDescent="0.35">
      <c r="A484" s="30">
        <v>46143</v>
      </c>
      <c r="B484" s="29" t="s">
        <v>8</v>
      </c>
      <c r="C484" s="29" t="s">
        <v>51</v>
      </c>
      <c r="D484" s="29" t="s">
        <v>52</v>
      </c>
      <c r="E484" s="29">
        <v>-32204</v>
      </c>
      <c r="F484" s="29" t="s">
        <v>53</v>
      </c>
    </row>
    <row r="485" spans="1:6" x14ac:dyDescent="0.35">
      <c r="A485" s="30">
        <v>46143</v>
      </c>
      <c r="B485" s="29" t="s">
        <v>8</v>
      </c>
      <c r="C485" s="29" t="s">
        <v>54</v>
      </c>
      <c r="D485" s="29" t="s">
        <v>55</v>
      </c>
      <c r="E485" s="29">
        <v>0</v>
      </c>
      <c r="F485" s="29" t="s">
        <v>56</v>
      </c>
    </row>
    <row r="486" spans="1:6" x14ac:dyDescent="0.35">
      <c r="A486" s="30">
        <v>46143</v>
      </c>
      <c r="B486" s="29" t="s">
        <v>8</v>
      </c>
      <c r="C486" s="29" t="s">
        <v>57</v>
      </c>
      <c r="D486" s="29" t="s">
        <v>58</v>
      </c>
      <c r="E486" s="29">
        <v>-85597</v>
      </c>
      <c r="F486" s="29" t="s">
        <v>59</v>
      </c>
    </row>
    <row r="487" spans="1:6" x14ac:dyDescent="0.35">
      <c r="A487" s="30">
        <v>46143</v>
      </c>
      <c r="B487" s="29" t="s">
        <v>8</v>
      </c>
      <c r="C487" s="29" t="s">
        <v>60</v>
      </c>
      <c r="D487" s="29" t="s">
        <v>61</v>
      </c>
      <c r="E487" s="29">
        <v>-6166</v>
      </c>
      <c r="F487" s="29" t="s">
        <v>62</v>
      </c>
    </row>
    <row r="488" spans="1:6" x14ac:dyDescent="0.35">
      <c r="A488" s="30">
        <v>46143</v>
      </c>
      <c r="B488" s="29" t="s">
        <v>13</v>
      </c>
      <c r="C488" s="29" t="s">
        <v>45</v>
      </c>
      <c r="D488" s="29" t="s">
        <v>63</v>
      </c>
      <c r="E488" s="29">
        <v>1307</v>
      </c>
      <c r="F488" s="29" t="s">
        <v>47</v>
      </c>
    </row>
    <row r="489" spans="1:6" x14ac:dyDescent="0.35">
      <c r="A489" s="30">
        <v>46143</v>
      </c>
      <c r="B489" s="29" t="s">
        <v>13</v>
      </c>
      <c r="C489" s="29" t="s">
        <v>48</v>
      </c>
      <c r="D489" s="29" t="s">
        <v>64</v>
      </c>
      <c r="E489" s="29">
        <v>-11933</v>
      </c>
      <c r="F489" s="29" t="s">
        <v>50</v>
      </c>
    </row>
    <row r="490" spans="1:6" x14ac:dyDescent="0.35">
      <c r="A490" s="30">
        <v>46143</v>
      </c>
      <c r="B490" s="29" t="s">
        <v>13</v>
      </c>
      <c r="C490" s="29" t="s">
        <v>51</v>
      </c>
      <c r="D490" s="29" t="s">
        <v>65</v>
      </c>
      <c r="E490" s="29">
        <v>-1685</v>
      </c>
      <c r="F490" s="29" t="s">
        <v>53</v>
      </c>
    </row>
    <row r="491" spans="1:6" x14ac:dyDescent="0.35">
      <c r="A491" s="30">
        <v>46143</v>
      </c>
      <c r="B491" s="29" t="s">
        <v>13</v>
      </c>
      <c r="C491" s="29" t="s">
        <v>54</v>
      </c>
      <c r="D491" s="29" t="s">
        <v>66</v>
      </c>
      <c r="E491" s="29">
        <v>0</v>
      </c>
      <c r="F491" s="29" t="s">
        <v>56</v>
      </c>
    </row>
    <row r="492" spans="1:6" x14ac:dyDescent="0.35">
      <c r="A492" s="30">
        <v>46143</v>
      </c>
      <c r="B492" s="29" t="s">
        <v>13</v>
      </c>
      <c r="C492" s="29" t="s">
        <v>57</v>
      </c>
      <c r="D492" s="29" t="s">
        <v>67</v>
      </c>
      <c r="E492" s="29">
        <v>-3197</v>
      </c>
      <c r="F492" s="29" t="s">
        <v>59</v>
      </c>
    </row>
    <row r="493" spans="1:6" x14ac:dyDescent="0.35">
      <c r="A493" s="30">
        <v>46143</v>
      </c>
      <c r="B493" s="29" t="s">
        <v>13</v>
      </c>
      <c r="C493" s="29" t="s">
        <v>60</v>
      </c>
      <c r="D493" s="29" t="s">
        <v>68</v>
      </c>
      <c r="E493" s="29">
        <v>-1083</v>
      </c>
      <c r="F493" s="29" t="s">
        <v>62</v>
      </c>
    </row>
    <row r="494" spans="1:6" x14ac:dyDescent="0.35">
      <c r="A494" s="30">
        <v>46143</v>
      </c>
      <c r="B494" s="29" t="s">
        <v>17</v>
      </c>
      <c r="C494" s="29" t="s">
        <v>45</v>
      </c>
      <c r="D494" s="29" t="s">
        <v>69</v>
      </c>
      <c r="E494" s="29">
        <v>3121</v>
      </c>
      <c r="F494" s="29" t="s">
        <v>47</v>
      </c>
    </row>
    <row r="495" spans="1:6" x14ac:dyDescent="0.35">
      <c r="A495" s="30">
        <v>46143</v>
      </c>
      <c r="B495" s="29" t="s">
        <v>17</v>
      </c>
      <c r="C495" s="29" t="s">
        <v>48</v>
      </c>
      <c r="D495" s="29" t="s">
        <v>70</v>
      </c>
      <c r="E495" s="29">
        <v>-4460</v>
      </c>
      <c r="F495" s="29" t="s">
        <v>50</v>
      </c>
    </row>
    <row r="496" spans="1:6" x14ac:dyDescent="0.35">
      <c r="A496" s="30">
        <v>46143</v>
      </c>
      <c r="B496" s="29" t="s">
        <v>17</v>
      </c>
      <c r="C496" s="29" t="s">
        <v>51</v>
      </c>
      <c r="D496" s="29" t="s">
        <v>71</v>
      </c>
      <c r="E496" s="29">
        <v>-1887</v>
      </c>
      <c r="F496" s="29" t="s">
        <v>53</v>
      </c>
    </row>
    <row r="497" spans="1:6" x14ac:dyDescent="0.35">
      <c r="A497" s="30">
        <v>46143</v>
      </c>
      <c r="B497" s="29" t="s">
        <v>17</v>
      </c>
      <c r="C497" s="29" t="s">
        <v>54</v>
      </c>
      <c r="D497" s="29" t="s">
        <v>72</v>
      </c>
      <c r="E497" s="29">
        <v>0</v>
      </c>
      <c r="F497" s="29" t="s">
        <v>56</v>
      </c>
    </row>
    <row r="498" spans="1:6" x14ac:dyDescent="0.35">
      <c r="A498" s="30">
        <v>46143</v>
      </c>
      <c r="B498" s="29" t="s">
        <v>17</v>
      </c>
      <c r="C498" s="29" t="s">
        <v>57</v>
      </c>
      <c r="D498" s="29" t="s">
        <v>73</v>
      </c>
      <c r="E498" s="29">
        <v>-2063</v>
      </c>
      <c r="F498" s="29" t="s">
        <v>59</v>
      </c>
    </row>
    <row r="499" spans="1:6" x14ac:dyDescent="0.35">
      <c r="A499" s="30">
        <v>46143</v>
      </c>
      <c r="B499" s="29" t="s">
        <v>17</v>
      </c>
      <c r="C499" s="29" t="s">
        <v>60</v>
      </c>
      <c r="D499" s="29" t="s">
        <v>74</v>
      </c>
      <c r="E499" s="29">
        <v>-769</v>
      </c>
      <c r="F499" s="29" t="s">
        <v>62</v>
      </c>
    </row>
    <row r="500" spans="1:6" x14ac:dyDescent="0.35">
      <c r="A500" s="30">
        <v>46143</v>
      </c>
      <c r="B500" s="29" t="s">
        <v>20</v>
      </c>
      <c r="C500" s="29" t="s">
        <v>45</v>
      </c>
      <c r="D500" s="29" t="s">
        <v>75</v>
      </c>
      <c r="E500" s="29">
        <v>17791</v>
      </c>
      <c r="F500" s="29" t="s">
        <v>47</v>
      </c>
    </row>
    <row r="501" spans="1:6" x14ac:dyDescent="0.35">
      <c r="A501" s="30">
        <v>46143</v>
      </c>
      <c r="B501" s="29" t="s">
        <v>20</v>
      </c>
      <c r="C501" s="29" t="s">
        <v>48</v>
      </c>
      <c r="D501" s="29" t="s">
        <v>76</v>
      </c>
      <c r="E501" s="29">
        <v>40637</v>
      </c>
      <c r="F501" s="29" t="s">
        <v>50</v>
      </c>
    </row>
    <row r="502" spans="1:6" x14ac:dyDescent="0.35">
      <c r="A502" s="30">
        <v>46143</v>
      </c>
      <c r="B502" s="29" t="s">
        <v>20</v>
      </c>
      <c r="C502" s="29" t="s">
        <v>51</v>
      </c>
      <c r="D502" s="29" t="s">
        <v>77</v>
      </c>
      <c r="E502" s="29">
        <v>0</v>
      </c>
      <c r="F502" s="29" t="s">
        <v>53</v>
      </c>
    </row>
    <row r="503" spans="1:6" x14ac:dyDescent="0.35">
      <c r="A503" s="30">
        <v>46143</v>
      </c>
      <c r="B503" s="29" t="s">
        <v>20</v>
      </c>
      <c r="C503" s="29" t="s">
        <v>54</v>
      </c>
      <c r="D503" s="29" t="s">
        <v>78</v>
      </c>
      <c r="E503" s="29">
        <v>94819</v>
      </c>
      <c r="F503" s="29" t="s">
        <v>79</v>
      </c>
    </row>
    <row r="504" spans="1:6" x14ac:dyDescent="0.35">
      <c r="A504" s="30">
        <v>46143</v>
      </c>
      <c r="B504" s="29" t="s">
        <v>20</v>
      </c>
      <c r="C504" s="29" t="s">
        <v>57</v>
      </c>
      <c r="D504" s="29" t="s">
        <v>80</v>
      </c>
      <c r="E504" s="29">
        <v>-18173</v>
      </c>
      <c r="F504" s="29" t="s">
        <v>59</v>
      </c>
    </row>
    <row r="505" spans="1:6" x14ac:dyDescent="0.35">
      <c r="A505" s="30">
        <v>46143</v>
      </c>
      <c r="B505" s="29" t="s">
        <v>20</v>
      </c>
      <c r="C505" s="29" t="s">
        <v>60</v>
      </c>
      <c r="D505" s="29" t="s">
        <v>81</v>
      </c>
      <c r="E505" s="29">
        <v>-2632</v>
      </c>
      <c r="F505" s="29" t="s">
        <v>62</v>
      </c>
    </row>
    <row r="506" spans="1:6" x14ac:dyDescent="0.35">
      <c r="A506" s="30">
        <v>46143</v>
      </c>
      <c r="B506" s="29" t="s">
        <v>25</v>
      </c>
      <c r="C506" s="29" t="s">
        <v>45</v>
      </c>
      <c r="D506" s="29" t="s">
        <v>82</v>
      </c>
      <c r="E506" s="29">
        <v>-6774</v>
      </c>
      <c r="F506" s="29" t="s">
        <v>47</v>
      </c>
    </row>
    <row r="507" spans="1:6" x14ac:dyDescent="0.35">
      <c r="A507" s="30">
        <v>46143</v>
      </c>
      <c r="B507" s="29" t="s">
        <v>25</v>
      </c>
      <c r="C507" s="29" t="s">
        <v>48</v>
      </c>
      <c r="D507" s="29" t="s">
        <v>83</v>
      </c>
      <c r="E507" s="29">
        <v>-46795</v>
      </c>
      <c r="F507" s="29" t="s">
        <v>50</v>
      </c>
    </row>
    <row r="508" spans="1:6" x14ac:dyDescent="0.35">
      <c r="A508" s="30">
        <v>46143</v>
      </c>
      <c r="B508" s="29" t="s">
        <v>25</v>
      </c>
      <c r="C508" s="29" t="s">
        <v>51</v>
      </c>
      <c r="D508" s="29" t="s">
        <v>84</v>
      </c>
      <c r="E508" s="29">
        <v>0</v>
      </c>
      <c r="F508" s="29" t="s">
        <v>53</v>
      </c>
    </row>
    <row r="509" spans="1:6" x14ac:dyDescent="0.35">
      <c r="A509" s="30">
        <v>46143</v>
      </c>
      <c r="B509" s="29" t="s">
        <v>25</v>
      </c>
      <c r="C509" s="29" t="s">
        <v>54</v>
      </c>
      <c r="D509" s="29" t="s">
        <v>85</v>
      </c>
      <c r="E509" s="29">
        <v>-109189</v>
      </c>
      <c r="F509" s="29" t="s">
        <v>86</v>
      </c>
    </row>
    <row r="510" spans="1:6" x14ac:dyDescent="0.35">
      <c r="A510" s="30">
        <v>46143</v>
      </c>
      <c r="B510" s="29" t="s">
        <v>25</v>
      </c>
      <c r="C510" s="29" t="s">
        <v>57</v>
      </c>
      <c r="D510" s="29" t="s">
        <v>87</v>
      </c>
      <c r="E510" s="29">
        <v>-157936</v>
      </c>
      <c r="F510" s="29" t="s">
        <v>59</v>
      </c>
    </row>
    <row r="511" spans="1:6" x14ac:dyDescent="0.35">
      <c r="A511" s="30">
        <v>46143</v>
      </c>
      <c r="B511" s="29" t="s">
        <v>25</v>
      </c>
      <c r="C511" s="29" t="s">
        <v>60</v>
      </c>
      <c r="D511" s="29" t="s">
        <v>88</v>
      </c>
      <c r="E511" s="29">
        <v>-5727</v>
      </c>
      <c r="F511" s="29" t="s">
        <v>62</v>
      </c>
    </row>
    <row r="512" spans="1:6" x14ac:dyDescent="0.35">
      <c r="A512" s="30">
        <v>46174</v>
      </c>
      <c r="B512" s="29" t="s">
        <v>8</v>
      </c>
      <c r="C512" s="29" t="s">
        <v>45</v>
      </c>
      <c r="D512" s="29" t="s">
        <v>46</v>
      </c>
      <c r="E512" s="29">
        <v>-244193</v>
      </c>
      <c r="F512" s="29" t="s">
        <v>47</v>
      </c>
    </row>
    <row r="513" spans="1:6" x14ac:dyDescent="0.35">
      <c r="A513" s="30">
        <v>46174</v>
      </c>
      <c r="B513" s="29" t="s">
        <v>8</v>
      </c>
      <c r="C513" s="29" t="s">
        <v>48</v>
      </c>
      <c r="D513" s="29" t="s">
        <v>49</v>
      </c>
      <c r="E513" s="29">
        <v>103645</v>
      </c>
      <c r="F513" s="29" t="s">
        <v>50</v>
      </c>
    </row>
    <row r="514" spans="1:6" x14ac:dyDescent="0.35">
      <c r="A514" s="30">
        <v>46174</v>
      </c>
      <c r="B514" s="29" t="s">
        <v>8</v>
      </c>
      <c r="C514" s="29" t="s">
        <v>51</v>
      </c>
      <c r="D514" s="29" t="s">
        <v>52</v>
      </c>
      <c r="E514" s="29">
        <v>0</v>
      </c>
      <c r="F514" s="29" t="s">
        <v>53</v>
      </c>
    </row>
    <row r="515" spans="1:6" x14ac:dyDescent="0.35">
      <c r="A515" s="30">
        <v>46174</v>
      </c>
      <c r="B515" s="29" t="s">
        <v>8</v>
      </c>
      <c r="C515" s="29" t="s">
        <v>54</v>
      </c>
      <c r="D515" s="29" t="s">
        <v>55</v>
      </c>
      <c r="E515" s="29">
        <v>0</v>
      </c>
      <c r="F515" s="29" t="s">
        <v>56</v>
      </c>
    </row>
    <row r="516" spans="1:6" x14ac:dyDescent="0.35">
      <c r="A516" s="30">
        <v>46174</v>
      </c>
      <c r="B516" s="29" t="s">
        <v>8</v>
      </c>
      <c r="C516" s="29" t="s">
        <v>57</v>
      </c>
      <c r="D516" s="29" t="s">
        <v>58</v>
      </c>
      <c r="E516" s="29">
        <v>-73872</v>
      </c>
      <c r="F516" s="29" t="s">
        <v>59</v>
      </c>
    </row>
    <row r="517" spans="1:6" x14ac:dyDescent="0.35">
      <c r="A517" s="30">
        <v>46174</v>
      </c>
      <c r="B517" s="29" t="s">
        <v>8</v>
      </c>
      <c r="C517" s="29" t="s">
        <v>60</v>
      </c>
      <c r="D517" s="29" t="s">
        <v>61</v>
      </c>
      <c r="E517" s="29">
        <v>-5825</v>
      </c>
      <c r="F517" s="29" t="s">
        <v>62</v>
      </c>
    </row>
    <row r="518" spans="1:6" x14ac:dyDescent="0.35">
      <c r="A518" s="30">
        <v>46174</v>
      </c>
      <c r="B518" s="29" t="s">
        <v>13</v>
      </c>
      <c r="C518" s="29" t="s">
        <v>45</v>
      </c>
      <c r="D518" s="29" t="s">
        <v>63</v>
      </c>
      <c r="E518" s="29">
        <v>6970</v>
      </c>
      <c r="F518" s="29" t="s">
        <v>47</v>
      </c>
    </row>
    <row r="519" spans="1:6" x14ac:dyDescent="0.35">
      <c r="A519" s="30">
        <v>46174</v>
      </c>
      <c r="B519" s="29" t="s">
        <v>13</v>
      </c>
      <c r="C519" s="29" t="s">
        <v>48</v>
      </c>
      <c r="D519" s="29" t="s">
        <v>64</v>
      </c>
      <c r="E519" s="29">
        <v>20830</v>
      </c>
      <c r="F519" s="29" t="s">
        <v>50</v>
      </c>
    </row>
    <row r="520" spans="1:6" x14ac:dyDescent="0.35">
      <c r="A520" s="30">
        <v>46174</v>
      </c>
      <c r="B520" s="29" t="s">
        <v>13</v>
      </c>
      <c r="C520" s="29" t="s">
        <v>51</v>
      </c>
      <c r="D520" s="29" t="s">
        <v>65</v>
      </c>
      <c r="E520" s="29">
        <v>-3533</v>
      </c>
      <c r="F520" s="29" t="s">
        <v>53</v>
      </c>
    </row>
    <row r="521" spans="1:6" x14ac:dyDescent="0.35">
      <c r="A521" s="30">
        <v>46174</v>
      </c>
      <c r="B521" s="29" t="s">
        <v>13</v>
      </c>
      <c r="C521" s="29" t="s">
        <v>54</v>
      </c>
      <c r="D521" s="29" t="s">
        <v>66</v>
      </c>
      <c r="E521" s="29">
        <v>0</v>
      </c>
      <c r="F521" s="29" t="s">
        <v>56</v>
      </c>
    </row>
    <row r="522" spans="1:6" x14ac:dyDescent="0.35">
      <c r="A522" s="30">
        <v>46174</v>
      </c>
      <c r="B522" s="29" t="s">
        <v>13</v>
      </c>
      <c r="C522" s="29" t="s">
        <v>57</v>
      </c>
      <c r="D522" s="29" t="s">
        <v>67</v>
      </c>
      <c r="E522" s="29">
        <v>-3068</v>
      </c>
      <c r="F522" s="29" t="s">
        <v>59</v>
      </c>
    </row>
    <row r="523" spans="1:6" x14ac:dyDescent="0.35">
      <c r="A523" s="30">
        <v>46174</v>
      </c>
      <c r="B523" s="29" t="s">
        <v>13</v>
      </c>
      <c r="C523" s="29" t="s">
        <v>60</v>
      </c>
      <c r="D523" s="29" t="s">
        <v>68</v>
      </c>
      <c r="E523" s="29">
        <v>-1087</v>
      </c>
      <c r="F523" s="29" t="s">
        <v>62</v>
      </c>
    </row>
    <row r="524" spans="1:6" x14ac:dyDescent="0.35">
      <c r="A524" s="30">
        <v>46174</v>
      </c>
      <c r="B524" s="29" t="s">
        <v>17</v>
      </c>
      <c r="C524" s="29" t="s">
        <v>45</v>
      </c>
      <c r="D524" s="29" t="s">
        <v>69</v>
      </c>
      <c r="E524" s="29">
        <v>6185</v>
      </c>
      <c r="F524" s="29" t="s">
        <v>47</v>
      </c>
    </row>
    <row r="525" spans="1:6" x14ac:dyDescent="0.35">
      <c r="A525" s="30">
        <v>46174</v>
      </c>
      <c r="B525" s="29" t="s">
        <v>17</v>
      </c>
      <c r="C525" s="29" t="s">
        <v>48</v>
      </c>
      <c r="D525" s="29" t="s">
        <v>70</v>
      </c>
      <c r="E525" s="29">
        <v>-6090</v>
      </c>
      <c r="F525" s="29" t="s">
        <v>50</v>
      </c>
    </row>
    <row r="526" spans="1:6" x14ac:dyDescent="0.35">
      <c r="A526" s="30">
        <v>46174</v>
      </c>
      <c r="B526" s="29" t="s">
        <v>17</v>
      </c>
      <c r="C526" s="29" t="s">
        <v>51</v>
      </c>
      <c r="D526" s="29" t="s">
        <v>71</v>
      </c>
      <c r="E526" s="29">
        <v>-989</v>
      </c>
      <c r="F526" s="29" t="s">
        <v>53</v>
      </c>
    </row>
    <row r="527" spans="1:6" x14ac:dyDescent="0.35">
      <c r="A527" s="30">
        <v>46174</v>
      </c>
      <c r="B527" s="29" t="s">
        <v>17</v>
      </c>
      <c r="C527" s="29" t="s">
        <v>54</v>
      </c>
      <c r="D527" s="29" t="s">
        <v>72</v>
      </c>
      <c r="E527" s="29">
        <v>0</v>
      </c>
      <c r="F527" s="29" t="s">
        <v>56</v>
      </c>
    </row>
    <row r="528" spans="1:6" x14ac:dyDescent="0.35">
      <c r="A528" s="30">
        <v>46174</v>
      </c>
      <c r="B528" s="29" t="s">
        <v>17</v>
      </c>
      <c r="C528" s="29" t="s">
        <v>57</v>
      </c>
      <c r="D528" s="29" t="s">
        <v>73</v>
      </c>
      <c r="E528" s="29">
        <v>-1650</v>
      </c>
      <c r="F528" s="29" t="s">
        <v>59</v>
      </c>
    </row>
    <row r="529" spans="1:6" x14ac:dyDescent="0.35">
      <c r="A529" s="30">
        <v>46174</v>
      </c>
      <c r="B529" s="29" t="s">
        <v>17</v>
      </c>
      <c r="C529" s="29" t="s">
        <v>60</v>
      </c>
      <c r="D529" s="29" t="s">
        <v>74</v>
      </c>
      <c r="E529" s="29">
        <v>-739</v>
      </c>
      <c r="F529" s="29" t="s">
        <v>62</v>
      </c>
    </row>
    <row r="530" spans="1:6" x14ac:dyDescent="0.35">
      <c r="A530" s="30">
        <v>46174</v>
      </c>
      <c r="B530" s="29" t="s">
        <v>20</v>
      </c>
      <c r="C530" s="29" t="s">
        <v>45</v>
      </c>
      <c r="D530" s="29" t="s">
        <v>75</v>
      </c>
      <c r="E530" s="29">
        <v>95756</v>
      </c>
      <c r="F530" s="29" t="s">
        <v>47</v>
      </c>
    </row>
    <row r="531" spans="1:6" x14ac:dyDescent="0.35">
      <c r="A531" s="30">
        <v>46174</v>
      </c>
      <c r="B531" s="29" t="s">
        <v>20</v>
      </c>
      <c r="C531" s="29" t="s">
        <v>48</v>
      </c>
      <c r="D531" s="29" t="s">
        <v>76</v>
      </c>
      <c r="E531" s="29">
        <v>33128</v>
      </c>
      <c r="F531" s="29" t="s">
        <v>50</v>
      </c>
    </row>
    <row r="532" spans="1:6" x14ac:dyDescent="0.35">
      <c r="A532" s="30">
        <v>46174</v>
      </c>
      <c r="B532" s="29" t="s">
        <v>20</v>
      </c>
      <c r="C532" s="29" t="s">
        <v>51</v>
      </c>
      <c r="D532" s="29" t="s">
        <v>77</v>
      </c>
      <c r="E532" s="29">
        <v>0</v>
      </c>
      <c r="F532" s="29" t="s">
        <v>53</v>
      </c>
    </row>
    <row r="533" spans="1:6" x14ac:dyDescent="0.35">
      <c r="A533" s="30">
        <v>46174</v>
      </c>
      <c r="B533" s="29" t="s">
        <v>20</v>
      </c>
      <c r="C533" s="29" t="s">
        <v>54</v>
      </c>
      <c r="D533" s="29" t="s">
        <v>78</v>
      </c>
      <c r="E533" s="29">
        <v>77298</v>
      </c>
      <c r="F533" s="29" t="s">
        <v>79</v>
      </c>
    </row>
    <row r="534" spans="1:6" x14ac:dyDescent="0.35">
      <c r="A534" s="30">
        <v>46174</v>
      </c>
      <c r="B534" s="29" t="s">
        <v>20</v>
      </c>
      <c r="C534" s="29" t="s">
        <v>57</v>
      </c>
      <c r="D534" s="29" t="s">
        <v>80</v>
      </c>
      <c r="E534" s="29">
        <v>-18273</v>
      </c>
      <c r="F534" s="29" t="s">
        <v>59</v>
      </c>
    </row>
    <row r="535" spans="1:6" x14ac:dyDescent="0.35">
      <c r="A535" s="30">
        <v>46174</v>
      </c>
      <c r="B535" s="29" t="s">
        <v>20</v>
      </c>
      <c r="C535" s="29" t="s">
        <v>60</v>
      </c>
      <c r="D535" s="29" t="s">
        <v>81</v>
      </c>
      <c r="E535" s="29">
        <v>-2523</v>
      </c>
      <c r="F535" s="29" t="s">
        <v>62</v>
      </c>
    </row>
    <row r="536" spans="1:6" x14ac:dyDescent="0.35">
      <c r="A536" s="30">
        <v>46174</v>
      </c>
      <c r="B536" s="29" t="s">
        <v>25</v>
      </c>
      <c r="C536" s="29" t="s">
        <v>45</v>
      </c>
      <c r="D536" s="29" t="s">
        <v>82</v>
      </c>
      <c r="E536" s="29">
        <v>5674</v>
      </c>
      <c r="F536" s="29" t="s">
        <v>47</v>
      </c>
    </row>
    <row r="537" spans="1:6" x14ac:dyDescent="0.35">
      <c r="A537" s="30">
        <v>46174</v>
      </c>
      <c r="B537" s="29" t="s">
        <v>25</v>
      </c>
      <c r="C537" s="29" t="s">
        <v>48</v>
      </c>
      <c r="D537" s="29" t="s">
        <v>83</v>
      </c>
      <c r="E537" s="29">
        <v>-51500</v>
      </c>
      <c r="F537" s="29" t="s">
        <v>50</v>
      </c>
    </row>
    <row r="538" spans="1:6" x14ac:dyDescent="0.35">
      <c r="A538" s="30">
        <v>46174</v>
      </c>
      <c r="B538" s="29" t="s">
        <v>25</v>
      </c>
      <c r="C538" s="29" t="s">
        <v>51</v>
      </c>
      <c r="D538" s="29" t="s">
        <v>84</v>
      </c>
      <c r="E538" s="29">
        <v>0</v>
      </c>
      <c r="F538" s="29" t="s">
        <v>53</v>
      </c>
    </row>
    <row r="539" spans="1:6" x14ac:dyDescent="0.35">
      <c r="A539" s="30">
        <v>46174</v>
      </c>
      <c r="B539" s="29" t="s">
        <v>25</v>
      </c>
      <c r="C539" s="29" t="s">
        <v>54</v>
      </c>
      <c r="D539" s="29" t="s">
        <v>85</v>
      </c>
      <c r="E539" s="29">
        <v>-120166</v>
      </c>
      <c r="F539" s="29" t="s">
        <v>86</v>
      </c>
    </row>
    <row r="540" spans="1:6" x14ac:dyDescent="0.35">
      <c r="A540" s="30">
        <v>46174</v>
      </c>
      <c r="B540" s="29" t="s">
        <v>25</v>
      </c>
      <c r="C540" s="29" t="s">
        <v>57</v>
      </c>
      <c r="D540" s="29" t="s">
        <v>87</v>
      </c>
      <c r="E540" s="29">
        <v>-158206</v>
      </c>
      <c r="F540" s="29" t="s">
        <v>59</v>
      </c>
    </row>
    <row r="541" spans="1:6" x14ac:dyDescent="0.35">
      <c r="A541" s="30">
        <v>46174</v>
      </c>
      <c r="B541" s="29" t="s">
        <v>25</v>
      </c>
      <c r="C541" s="29" t="s">
        <v>60</v>
      </c>
      <c r="D541" s="29" t="s">
        <v>88</v>
      </c>
      <c r="E541" s="29">
        <v>-5678</v>
      </c>
      <c r="F541" s="29" t="s">
        <v>62</v>
      </c>
    </row>
    <row r="542" spans="1:6" x14ac:dyDescent="0.35">
      <c r="A542" s="30">
        <v>46204</v>
      </c>
      <c r="B542" s="29" t="s">
        <v>8</v>
      </c>
      <c r="C542" s="29" t="s">
        <v>45</v>
      </c>
      <c r="D542" s="29" t="s">
        <v>46</v>
      </c>
      <c r="E542" s="29">
        <v>-246486</v>
      </c>
      <c r="F542" s="29" t="s">
        <v>47</v>
      </c>
    </row>
    <row r="543" spans="1:6" x14ac:dyDescent="0.35">
      <c r="A543" s="30">
        <v>46204</v>
      </c>
      <c r="B543" s="29" t="s">
        <v>8</v>
      </c>
      <c r="C543" s="29" t="s">
        <v>48</v>
      </c>
      <c r="D543" s="29" t="s">
        <v>49</v>
      </c>
      <c r="E543" s="29">
        <v>83107</v>
      </c>
      <c r="F543" s="29" t="s">
        <v>50</v>
      </c>
    </row>
    <row r="544" spans="1:6" x14ac:dyDescent="0.35">
      <c r="A544" s="30">
        <v>46204</v>
      </c>
      <c r="B544" s="29" t="s">
        <v>8</v>
      </c>
      <c r="C544" s="29" t="s">
        <v>51</v>
      </c>
      <c r="D544" s="29" t="s">
        <v>52</v>
      </c>
      <c r="E544" s="29">
        <v>-25914</v>
      </c>
      <c r="F544" s="29" t="s">
        <v>53</v>
      </c>
    </row>
    <row r="545" spans="1:6" x14ac:dyDescent="0.35">
      <c r="A545" s="30">
        <v>46204</v>
      </c>
      <c r="B545" s="29" t="s">
        <v>8</v>
      </c>
      <c r="C545" s="29" t="s">
        <v>54</v>
      </c>
      <c r="D545" s="29" t="s">
        <v>55</v>
      </c>
      <c r="E545" s="29">
        <v>0</v>
      </c>
      <c r="F545" s="29" t="s">
        <v>56</v>
      </c>
    </row>
    <row r="546" spans="1:6" x14ac:dyDescent="0.35">
      <c r="A546" s="30">
        <v>46204</v>
      </c>
      <c r="B546" s="29" t="s">
        <v>8</v>
      </c>
      <c r="C546" s="29" t="s">
        <v>57</v>
      </c>
      <c r="D546" s="29" t="s">
        <v>58</v>
      </c>
      <c r="E546" s="29">
        <v>-45245</v>
      </c>
      <c r="F546" s="29" t="s">
        <v>59</v>
      </c>
    </row>
    <row r="547" spans="1:6" x14ac:dyDescent="0.35">
      <c r="A547" s="30">
        <v>46204</v>
      </c>
      <c r="B547" s="29" t="s">
        <v>8</v>
      </c>
      <c r="C547" s="29" t="s">
        <v>60</v>
      </c>
      <c r="D547" s="29" t="s">
        <v>61</v>
      </c>
      <c r="E547" s="29">
        <v>-6134</v>
      </c>
      <c r="F547" s="29" t="s">
        <v>62</v>
      </c>
    </row>
    <row r="548" spans="1:6" x14ac:dyDescent="0.35">
      <c r="A548" s="30">
        <v>46204</v>
      </c>
      <c r="B548" s="29" t="s">
        <v>13</v>
      </c>
      <c r="C548" s="29" t="s">
        <v>45</v>
      </c>
      <c r="D548" s="29" t="s">
        <v>63</v>
      </c>
      <c r="E548" s="29">
        <v>9707</v>
      </c>
      <c r="F548" s="29" t="s">
        <v>47</v>
      </c>
    </row>
    <row r="549" spans="1:6" x14ac:dyDescent="0.35">
      <c r="A549" s="30">
        <v>46204</v>
      </c>
      <c r="B549" s="29" t="s">
        <v>13</v>
      </c>
      <c r="C549" s="29" t="s">
        <v>48</v>
      </c>
      <c r="D549" s="29" t="s">
        <v>64</v>
      </c>
      <c r="E549" s="29">
        <v>-22428</v>
      </c>
      <c r="F549" s="29" t="s">
        <v>50</v>
      </c>
    </row>
    <row r="550" spans="1:6" x14ac:dyDescent="0.35">
      <c r="A550" s="30">
        <v>46204</v>
      </c>
      <c r="B550" s="29" t="s">
        <v>13</v>
      </c>
      <c r="C550" s="29" t="s">
        <v>51</v>
      </c>
      <c r="D550" s="29" t="s">
        <v>65</v>
      </c>
      <c r="E550" s="29">
        <v>-3479</v>
      </c>
      <c r="F550" s="29" t="s">
        <v>53</v>
      </c>
    </row>
    <row r="551" spans="1:6" x14ac:dyDescent="0.35">
      <c r="A551" s="30">
        <v>46204</v>
      </c>
      <c r="B551" s="29" t="s">
        <v>13</v>
      </c>
      <c r="C551" s="29" t="s">
        <v>54</v>
      </c>
      <c r="D551" s="29" t="s">
        <v>66</v>
      </c>
      <c r="E551" s="29">
        <v>0</v>
      </c>
      <c r="F551" s="29" t="s">
        <v>56</v>
      </c>
    </row>
    <row r="552" spans="1:6" x14ac:dyDescent="0.35">
      <c r="A552" s="30">
        <v>46204</v>
      </c>
      <c r="B552" s="29" t="s">
        <v>13</v>
      </c>
      <c r="C552" s="29" t="s">
        <v>57</v>
      </c>
      <c r="D552" s="29" t="s">
        <v>67</v>
      </c>
      <c r="E552" s="29">
        <v>-3964</v>
      </c>
      <c r="F552" s="29" t="s">
        <v>59</v>
      </c>
    </row>
    <row r="553" spans="1:6" x14ac:dyDescent="0.35">
      <c r="A553" s="30">
        <v>46204</v>
      </c>
      <c r="B553" s="29" t="s">
        <v>13</v>
      </c>
      <c r="C553" s="29" t="s">
        <v>60</v>
      </c>
      <c r="D553" s="29" t="s">
        <v>68</v>
      </c>
      <c r="E553" s="29">
        <v>-1106</v>
      </c>
      <c r="F553" s="29" t="s">
        <v>62</v>
      </c>
    </row>
    <row r="554" spans="1:6" x14ac:dyDescent="0.35">
      <c r="A554" s="30">
        <v>46204</v>
      </c>
      <c r="B554" s="29" t="s">
        <v>17</v>
      </c>
      <c r="C554" s="29" t="s">
        <v>45</v>
      </c>
      <c r="D554" s="29" t="s">
        <v>69</v>
      </c>
      <c r="E554" s="29">
        <v>-12992</v>
      </c>
      <c r="F554" s="29" t="s">
        <v>47</v>
      </c>
    </row>
    <row r="555" spans="1:6" x14ac:dyDescent="0.35">
      <c r="A555" s="30">
        <v>46204</v>
      </c>
      <c r="B555" s="29" t="s">
        <v>17</v>
      </c>
      <c r="C555" s="29" t="s">
        <v>48</v>
      </c>
      <c r="D555" s="29" t="s">
        <v>70</v>
      </c>
      <c r="E555" s="29">
        <v>516</v>
      </c>
      <c r="F555" s="29" t="s">
        <v>50</v>
      </c>
    </row>
    <row r="556" spans="1:6" x14ac:dyDescent="0.35">
      <c r="A556" s="30">
        <v>46204</v>
      </c>
      <c r="B556" s="29" t="s">
        <v>17</v>
      </c>
      <c r="C556" s="29" t="s">
        <v>51</v>
      </c>
      <c r="D556" s="29" t="s">
        <v>71</v>
      </c>
      <c r="E556" s="29">
        <v>0</v>
      </c>
      <c r="F556" s="29" t="s">
        <v>53</v>
      </c>
    </row>
    <row r="557" spans="1:6" x14ac:dyDescent="0.35">
      <c r="A557" s="30">
        <v>46204</v>
      </c>
      <c r="B557" s="29" t="s">
        <v>17</v>
      </c>
      <c r="C557" s="29" t="s">
        <v>54</v>
      </c>
      <c r="D557" s="29" t="s">
        <v>72</v>
      </c>
      <c r="E557" s="29">
        <v>0</v>
      </c>
      <c r="F557" s="29" t="s">
        <v>56</v>
      </c>
    </row>
    <row r="558" spans="1:6" x14ac:dyDescent="0.35">
      <c r="A558" s="30">
        <v>46204</v>
      </c>
      <c r="B558" s="29" t="s">
        <v>17</v>
      </c>
      <c r="C558" s="29" t="s">
        <v>57</v>
      </c>
      <c r="D558" s="29" t="s">
        <v>73</v>
      </c>
      <c r="E558" s="29">
        <v>-2632</v>
      </c>
      <c r="F558" s="29" t="s">
        <v>59</v>
      </c>
    </row>
    <row r="559" spans="1:6" x14ac:dyDescent="0.35">
      <c r="A559" s="30">
        <v>46204</v>
      </c>
      <c r="B559" s="29" t="s">
        <v>17</v>
      </c>
      <c r="C559" s="29" t="s">
        <v>60</v>
      </c>
      <c r="D559" s="29" t="s">
        <v>74</v>
      </c>
      <c r="E559" s="29">
        <v>-751</v>
      </c>
      <c r="F559" s="29" t="s">
        <v>62</v>
      </c>
    </row>
    <row r="560" spans="1:6" x14ac:dyDescent="0.35">
      <c r="A560" s="30">
        <v>46204</v>
      </c>
      <c r="B560" s="29" t="s">
        <v>20</v>
      </c>
      <c r="C560" s="29" t="s">
        <v>45</v>
      </c>
      <c r="D560" s="29" t="s">
        <v>75</v>
      </c>
      <c r="E560" s="29">
        <v>121732</v>
      </c>
      <c r="F560" s="29" t="s">
        <v>47</v>
      </c>
    </row>
    <row r="561" spans="1:6" x14ac:dyDescent="0.35">
      <c r="A561" s="30">
        <v>46204</v>
      </c>
      <c r="B561" s="29" t="s">
        <v>20</v>
      </c>
      <c r="C561" s="29" t="s">
        <v>48</v>
      </c>
      <c r="D561" s="29" t="s">
        <v>76</v>
      </c>
      <c r="E561" s="29">
        <v>33183</v>
      </c>
      <c r="F561" s="29" t="s">
        <v>50</v>
      </c>
    </row>
    <row r="562" spans="1:6" x14ac:dyDescent="0.35">
      <c r="A562" s="30">
        <v>46204</v>
      </c>
      <c r="B562" s="29" t="s">
        <v>20</v>
      </c>
      <c r="C562" s="29" t="s">
        <v>51</v>
      </c>
      <c r="D562" s="29" t="s">
        <v>77</v>
      </c>
      <c r="E562" s="29">
        <v>0</v>
      </c>
      <c r="F562" s="29" t="s">
        <v>53</v>
      </c>
    </row>
    <row r="563" spans="1:6" x14ac:dyDescent="0.35">
      <c r="A563" s="30">
        <v>46204</v>
      </c>
      <c r="B563" s="29" t="s">
        <v>20</v>
      </c>
      <c r="C563" s="29" t="s">
        <v>54</v>
      </c>
      <c r="D563" s="29" t="s">
        <v>78</v>
      </c>
      <c r="E563" s="29">
        <v>77428</v>
      </c>
      <c r="F563" s="29" t="s">
        <v>79</v>
      </c>
    </row>
    <row r="564" spans="1:6" x14ac:dyDescent="0.35">
      <c r="A564" s="30">
        <v>46204</v>
      </c>
      <c r="B564" s="29" t="s">
        <v>20</v>
      </c>
      <c r="C564" s="29" t="s">
        <v>57</v>
      </c>
      <c r="D564" s="29" t="s">
        <v>80</v>
      </c>
      <c r="E564" s="29">
        <v>-18373</v>
      </c>
      <c r="F564" s="29" t="s">
        <v>59</v>
      </c>
    </row>
    <row r="565" spans="1:6" x14ac:dyDescent="0.35">
      <c r="A565" s="30">
        <v>46204</v>
      </c>
      <c r="B565" s="29" t="s">
        <v>20</v>
      </c>
      <c r="C565" s="29" t="s">
        <v>60</v>
      </c>
      <c r="D565" s="29" t="s">
        <v>81</v>
      </c>
      <c r="E565" s="29">
        <v>-2646</v>
      </c>
      <c r="F565" s="29" t="s">
        <v>62</v>
      </c>
    </row>
    <row r="566" spans="1:6" x14ac:dyDescent="0.35">
      <c r="A566" s="30">
        <v>46204</v>
      </c>
      <c r="B566" s="29" t="s">
        <v>25</v>
      </c>
      <c r="C566" s="29" t="s">
        <v>45</v>
      </c>
      <c r="D566" s="29" t="s">
        <v>82</v>
      </c>
      <c r="E566" s="29">
        <v>-1218</v>
      </c>
      <c r="F566" s="29" t="s">
        <v>47</v>
      </c>
    </row>
    <row r="567" spans="1:6" x14ac:dyDescent="0.35">
      <c r="A567" s="30">
        <v>46204</v>
      </c>
      <c r="B567" s="29" t="s">
        <v>25</v>
      </c>
      <c r="C567" s="29" t="s">
        <v>48</v>
      </c>
      <c r="D567" s="29" t="s">
        <v>83</v>
      </c>
      <c r="E567" s="29">
        <v>-33641</v>
      </c>
      <c r="F567" s="29" t="s">
        <v>50</v>
      </c>
    </row>
    <row r="568" spans="1:6" x14ac:dyDescent="0.35">
      <c r="A568" s="30">
        <v>46204</v>
      </c>
      <c r="B568" s="29" t="s">
        <v>25</v>
      </c>
      <c r="C568" s="29" t="s">
        <v>51</v>
      </c>
      <c r="D568" s="29" t="s">
        <v>84</v>
      </c>
      <c r="E568" s="29">
        <v>0</v>
      </c>
      <c r="F568" s="29" t="s">
        <v>53</v>
      </c>
    </row>
    <row r="569" spans="1:6" x14ac:dyDescent="0.35">
      <c r="A569" s="30">
        <v>46204</v>
      </c>
      <c r="B569" s="29" t="s">
        <v>25</v>
      </c>
      <c r="C569" s="29" t="s">
        <v>54</v>
      </c>
      <c r="D569" s="29" t="s">
        <v>85</v>
      </c>
      <c r="E569" s="29">
        <v>-78495</v>
      </c>
      <c r="F569" s="29" t="s">
        <v>86</v>
      </c>
    </row>
    <row r="570" spans="1:6" x14ac:dyDescent="0.35">
      <c r="A570" s="30">
        <v>46204</v>
      </c>
      <c r="B570" s="29" t="s">
        <v>25</v>
      </c>
      <c r="C570" s="29" t="s">
        <v>57</v>
      </c>
      <c r="D570" s="29" t="s">
        <v>87</v>
      </c>
      <c r="E570" s="29">
        <v>-161943</v>
      </c>
      <c r="F570" s="29" t="s">
        <v>59</v>
      </c>
    </row>
    <row r="571" spans="1:6" x14ac:dyDescent="0.35">
      <c r="A571" s="30">
        <v>46204</v>
      </c>
      <c r="B571" s="29" t="s">
        <v>25</v>
      </c>
      <c r="C571" s="29" t="s">
        <v>60</v>
      </c>
      <c r="D571" s="29" t="s">
        <v>88</v>
      </c>
      <c r="E571" s="29">
        <v>-5679</v>
      </c>
      <c r="F571" s="29" t="s">
        <v>62</v>
      </c>
    </row>
    <row r="572" spans="1:6" x14ac:dyDescent="0.35">
      <c r="A572" s="30">
        <v>46235</v>
      </c>
      <c r="B572" s="29" t="s">
        <v>8</v>
      </c>
      <c r="C572" s="29" t="s">
        <v>45</v>
      </c>
      <c r="D572" s="29" t="s">
        <v>46</v>
      </c>
      <c r="E572" s="29">
        <v>-207081</v>
      </c>
      <c r="F572" s="29" t="s">
        <v>47</v>
      </c>
    </row>
    <row r="573" spans="1:6" x14ac:dyDescent="0.35">
      <c r="A573" s="30">
        <v>46235</v>
      </c>
      <c r="B573" s="29" t="s">
        <v>8</v>
      </c>
      <c r="C573" s="29" t="s">
        <v>48</v>
      </c>
      <c r="D573" s="29" t="s">
        <v>49</v>
      </c>
      <c r="E573" s="29">
        <v>39002</v>
      </c>
      <c r="F573" s="29" t="s">
        <v>50</v>
      </c>
    </row>
    <row r="574" spans="1:6" x14ac:dyDescent="0.35">
      <c r="A574" s="30">
        <v>46235</v>
      </c>
      <c r="B574" s="29" t="s">
        <v>8</v>
      </c>
      <c r="C574" s="29" t="s">
        <v>51</v>
      </c>
      <c r="D574" s="29" t="s">
        <v>52</v>
      </c>
      <c r="E574" s="29">
        <v>-28977</v>
      </c>
      <c r="F574" s="29" t="s">
        <v>53</v>
      </c>
    </row>
    <row r="575" spans="1:6" x14ac:dyDescent="0.35">
      <c r="A575" s="30">
        <v>46235</v>
      </c>
      <c r="B575" s="29" t="s">
        <v>8</v>
      </c>
      <c r="C575" s="29" t="s">
        <v>54</v>
      </c>
      <c r="D575" s="29" t="s">
        <v>55</v>
      </c>
      <c r="E575" s="29">
        <v>0</v>
      </c>
      <c r="F575" s="29" t="s">
        <v>56</v>
      </c>
    </row>
    <row r="576" spans="1:6" x14ac:dyDescent="0.35">
      <c r="A576" s="30">
        <v>46235</v>
      </c>
      <c r="B576" s="29" t="s">
        <v>8</v>
      </c>
      <c r="C576" s="29" t="s">
        <v>57</v>
      </c>
      <c r="D576" s="29" t="s">
        <v>58</v>
      </c>
      <c r="E576" s="29">
        <v>-53470</v>
      </c>
      <c r="F576" s="29" t="s">
        <v>59</v>
      </c>
    </row>
    <row r="577" spans="1:6" x14ac:dyDescent="0.35">
      <c r="A577" s="30">
        <v>46235</v>
      </c>
      <c r="B577" s="29" t="s">
        <v>8</v>
      </c>
      <c r="C577" s="29" t="s">
        <v>60</v>
      </c>
      <c r="D577" s="29" t="s">
        <v>61</v>
      </c>
      <c r="E577" s="29">
        <v>-5827</v>
      </c>
      <c r="F577" s="29" t="s">
        <v>62</v>
      </c>
    </row>
    <row r="578" spans="1:6" x14ac:dyDescent="0.35">
      <c r="A578" s="30">
        <v>46235</v>
      </c>
      <c r="B578" s="29" t="s">
        <v>13</v>
      </c>
      <c r="C578" s="29" t="s">
        <v>45</v>
      </c>
      <c r="D578" s="29" t="s">
        <v>63</v>
      </c>
      <c r="E578" s="29">
        <v>8906</v>
      </c>
      <c r="F578" s="29" t="s">
        <v>47</v>
      </c>
    </row>
    <row r="579" spans="1:6" x14ac:dyDescent="0.35">
      <c r="A579" s="30">
        <v>46235</v>
      </c>
      <c r="B579" s="29" t="s">
        <v>13</v>
      </c>
      <c r="C579" s="29" t="s">
        <v>48</v>
      </c>
      <c r="D579" s="29" t="s">
        <v>64</v>
      </c>
      <c r="E579" s="29">
        <v>19839</v>
      </c>
      <c r="F579" s="29" t="s">
        <v>50</v>
      </c>
    </row>
    <row r="580" spans="1:6" x14ac:dyDescent="0.35">
      <c r="A580" s="30">
        <v>46235</v>
      </c>
      <c r="B580" s="29" t="s">
        <v>13</v>
      </c>
      <c r="C580" s="29" t="s">
        <v>51</v>
      </c>
      <c r="D580" s="29" t="s">
        <v>65</v>
      </c>
      <c r="E580" s="29">
        <v>-3278</v>
      </c>
      <c r="F580" s="29" t="s">
        <v>53</v>
      </c>
    </row>
    <row r="581" spans="1:6" x14ac:dyDescent="0.35">
      <c r="A581" s="30">
        <v>46235</v>
      </c>
      <c r="B581" s="29" t="s">
        <v>13</v>
      </c>
      <c r="C581" s="29" t="s">
        <v>54</v>
      </c>
      <c r="D581" s="29" t="s">
        <v>66</v>
      </c>
      <c r="E581" s="29">
        <v>0</v>
      </c>
      <c r="F581" s="29" t="s">
        <v>56</v>
      </c>
    </row>
    <row r="582" spans="1:6" x14ac:dyDescent="0.35">
      <c r="A582" s="30">
        <v>46235</v>
      </c>
      <c r="B582" s="29" t="s">
        <v>13</v>
      </c>
      <c r="C582" s="29" t="s">
        <v>57</v>
      </c>
      <c r="D582" s="29" t="s">
        <v>67</v>
      </c>
      <c r="E582" s="29">
        <v>-4138</v>
      </c>
      <c r="F582" s="29" t="s">
        <v>59</v>
      </c>
    </row>
    <row r="583" spans="1:6" x14ac:dyDescent="0.35">
      <c r="A583" s="30">
        <v>46235</v>
      </c>
      <c r="B583" s="29" t="s">
        <v>13</v>
      </c>
      <c r="C583" s="29" t="s">
        <v>60</v>
      </c>
      <c r="D583" s="29" t="s">
        <v>68</v>
      </c>
      <c r="E583" s="29">
        <v>-1083</v>
      </c>
      <c r="F583" s="29" t="s">
        <v>62</v>
      </c>
    </row>
    <row r="584" spans="1:6" x14ac:dyDescent="0.35">
      <c r="A584" s="30">
        <v>46235</v>
      </c>
      <c r="B584" s="29" t="s">
        <v>17</v>
      </c>
      <c r="C584" s="29" t="s">
        <v>45</v>
      </c>
      <c r="D584" s="29" t="s">
        <v>69</v>
      </c>
      <c r="E584" s="29">
        <v>-9284</v>
      </c>
      <c r="F584" s="29" t="s">
        <v>47</v>
      </c>
    </row>
    <row r="585" spans="1:6" x14ac:dyDescent="0.35">
      <c r="A585" s="30">
        <v>46235</v>
      </c>
      <c r="B585" s="29" t="s">
        <v>17</v>
      </c>
      <c r="C585" s="29" t="s">
        <v>48</v>
      </c>
      <c r="D585" s="29" t="s">
        <v>70</v>
      </c>
      <c r="E585" s="29">
        <v>-1571</v>
      </c>
      <c r="F585" s="29" t="s">
        <v>50</v>
      </c>
    </row>
    <row r="586" spans="1:6" x14ac:dyDescent="0.35">
      <c r="A586" s="30">
        <v>46235</v>
      </c>
      <c r="B586" s="29" t="s">
        <v>17</v>
      </c>
      <c r="C586" s="29" t="s">
        <v>51</v>
      </c>
      <c r="D586" s="29" t="s">
        <v>71</v>
      </c>
      <c r="E586" s="29">
        <v>0</v>
      </c>
      <c r="F586" s="29" t="s">
        <v>53</v>
      </c>
    </row>
    <row r="587" spans="1:6" x14ac:dyDescent="0.35">
      <c r="A587" s="30">
        <v>46235</v>
      </c>
      <c r="B587" s="29" t="s">
        <v>17</v>
      </c>
      <c r="C587" s="29" t="s">
        <v>54</v>
      </c>
      <c r="D587" s="29" t="s">
        <v>72</v>
      </c>
      <c r="E587" s="29">
        <v>0</v>
      </c>
      <c r="F587" s="29" t="s">
        <v>56</v>
      </c>
    </row>
    <row r="588" spans="1:6" x14ac:dyDescent="0.35">
      <c r="A588" s="30">
        <v>46235</v>
      </c>
      <c r="B588" s="29" t="s">
        <v>17</v>
      </c>
      <c r="C588" s="29" t="s">
        <v>57</v>
      </c>
      <c r="D588" s="29" t="s">
        <v>73</v>
      </c>
      <c r="E588" s="29">
        <v>-2832</v>
      </c>
      <c r="F588" s="29" t="s">
        <v>59</v>
      </c>
    </row>
    <row r="589" spans="1:6" x14ac:dyDescent="0.35">
      <c r="A589" s="30">
        <v>46235</v>
      </c>
      <c r="B589" s="29" t="s">
        <v>17</v>
      </c>
      <c r="C589" s="29" t="s">
        <v>60</v>
      </c>
      <c r="D589" s="29" t="s">
        <v>74</v>
      </c>
      <c r="E589" s="29">
        <v>-777</v>
      </c>
      <c r="F589" s="29" t="s">
        <v>62</v>
      </c>
    </row>
    <row r="590" spans="1:6" x14ac:dyDescent="0.35">
      <c r="A590" s="30">
        <v>46235</v>
      </c>
      <c r="B590" s="29" t="s">
        <v>20</v>
      </c>
      <c r="C590" s="29" t="s">
        <v>45</v>
      </c>
      <c r="D590" s="29" t="s">
        <v>75</v>
      </c>
      <c r="E590" s="29">
        <v>69121</v>
      </c>
      <c r="F590" s="29" t="s">
        <v>47</v>
      </c>
    </row>
    <row r="591" spans="1:6" x14ac:dyDescent="0.35">
      <c r="A591" s="30">
        <v>46235</v>
      </c>
      <c r="B591" s="29" t="s">
        <v>20</v>
      </c>
      <c r="C591" s="29" t="s">
        <v>48</v>
      </c>
      <c r="D591" s="29" t="s">
        <v>76</v>
      </c>
      <c r="E591" s="29">
        <v>37801</v>
      </c>
      <c r="F591" s="29" t="s">
        <v>50</v>
      </c>
    </row>
    <row r="592" spans="1:6" x14ac:dyDescent="0.35">
      <c r="A592" s="30">
        <v>46235</v>
      </c>
      <c r="B592" s="29" t="s">
        <v>20</v>
      </c>
      <c r="C592" s="29" t="s">
        <v>51</v>
      </c>
      <c r="D592" s="29" t="s">
        <v>77</v>
      </c>
      <c r="E592" s="29">
        <v>0</v>
      </c>
      <c r="F592" s="29" t="s">
        <v>53</v>
      </c>
    </row>
    <row r="593" spans="1:6" x14ac:dyDescent="0.35">
      <c r="A593" s="30">
        <v>46235</v>
      </c>
      <c r="B593" s="29" t="s">
        <v>20</v>
      </c>
      <c r="C593" s="29" t="s">
        <v>54</v>
      </c>
      <c r="D593" s="29" t="s">
        <v>78</v>
      </c>
      <c r="E593" s="29">
        <v>88202</v>
      </c>
      <c r="F593" s="29" t="s">
        <v>79</v>
      </c>
    </row>
    <row r="594" spans="1:6" x14ac:dyDescent="0.35">
      <c r="A594" s="30">
        <v>46235</v>
      </c>
      <c r="B594" s="29" t="s">
        <v>20</v>
      </c>
      <c r="C594" s="29" t="s">
        <v>57</v>
      </c>
      <c r="D594" s="29" t="s">
        <v>80</v>
      </c>
      <c r="E594" s="29">
        <v>-18473</v>
      </c>
      <c r="F594" s="29" t="s">
        <v>59</v>
      </c>
    </row>
    <row r="595" spans="1:6" x14ac:dyDescent="0.35">
      <c r="A595" s="30">
        <v>46235</v>
      </c>
      <c r="B595" s="29" t="s">
        <v>20</v>
      </c>
      <c r="C595" s="29" t="s">
        <v>60</v>
      </c>
      <c r="D595" s="29" t="s">
        <v>81</v>
      </c>
      <c r="E595" s="29">
        <v>-2603</v>
      </c>
      <c r="F595" s="29" t="s">
        <v>62</v>
      </c>
    </row>
    <row r="596" spans="1:6" x14ac:dyDescent="0.35">
      <c r="A596" s="30">
        <v>46235</v>
      </c>
      <c r="B596" s="29" t="s">
        <v>25</v>
      </c>
      <c r="C596" s="29" t="s">
        <v>45</v>
      </c>
      <c r="D596" s="29" t="s">
        <v>82</v>
      </c>
      <c r="E596" s="29">
        <v>2082</v>
      </c>
      <c r="F596" s="29" t="s">
        <v>47</v>
      </c>
    </row>
    <row r="597" spans="1:6" x14ac:dyDescent="0.35">
      <c r="A597" s="30">
        <v>46235</v>
      </c>
      <c r="B597" s="29" t="s">
        <v>25</v>
      </c>
      <c r="C597" s="29" t="s">
        <v>48</v>
      </c>
      <c r="D597" s="29" t="s">
        <v>83</v>
      </c>
      <c r="E597" s="29">
        <v>-34752</v>
      </c>
      <c r="F597" s="29" t="s">
        <v>50</v>
      </c>
    </row>
    <row r="598" spans="1:6" x14ac:dyDescent="0.35">
      <c r="A598" s="30">
        <v>46235</v>
      </c>
      <c r="B598" s="29" t="s">
        <v>25</v>
      </c>
      <c r="C598" s="29" t="s">
        <v>51</v>
      </c>
      <c r="D598" s="29" t="s">
        <v>84</v>
      </c>
      <c r="E598" s="29">
        <v>0</v>
      </c>
      <c r="F598" s="29" t="s">
        <v>53</v>
      </c>
    </row>
    <row r="599" spans="1:6" x14ac:dyDescent="0.35">
      <c r="A599" s="30">
        <v>46235</v>
      </c>
      <c r="B599" s="29" t="s">
        <v>25</v>
      </c>
      <c r="C599" s="29" t="s">
        <v>54</v>
      </c>
      <c r="D599" s="29" t="s">
        <v>85</v>
      </c>
      <c r="E599" s="29">
        <v>-81088</v>
      </c>
      <c r="F599" s="29" t="s">
        <v>86</v>
      </c>
    </row>
    <row r="600" spans="1:6" x14ac:dyDescent="0.35">
      <c r="A600" s="30">
        <v>46235</v>
      </c>
      <c r="B600" s="29" t="s">
        <v>25</v>
      </c>
      <c r="C600" s="29" t="s">
        <v>57</v>
      </c>
      <c r="D600" s="29" t="s">
        <v>87</v>
      </c>
      <c r="E600" s="29">
        <v>-163947</v>
      </c>
      <c r="F600" s="29" t="s">
        <v>59</v>
      </c>
    </row>
    <row r="601" spans="1:6" x14ac:dyDescent="0.35">
      <c r="A601" s="30">
        <v>46235</v>
      </c>
      <c r="B601" s="29" t="s">
        <v>25</v>
      </c>
      <c r="C601" s="29" t="s">
        <v>60</v>
      </c>
      <c r="D601" s="29" t="s">
        <v>88</v>
      </c>
      <c r="E601" s="29">
        <v>-5712</v>
      </c>
      <c r="F601" s="29" t="s">
        <v>62</v>
      </c>
    </row>
    <row r="602" spans="1:6" x14ac:dyDescent="0.35">
      <c r="A602" s="30">
        <v>46266</v>
      </c>
      <c r="B602" s="29" t="s">
        <v>8</v>
      </c>
      <c r="C602" s="29" t="s">
        <v>45</v>
      </c>
      <c r="D602" s="29" t="s">
        <v>46</v>
      </c>
      <c r="E602" s="29">
        <v>-125199</v>
      </c>
      <c r="F602" s="29" t="s">
        <v>47</v>
      </c>
    </row>
    <row r="603" spans="1:6" x14ac:dyDescent="0.35">
      <c r="A603" s="30">
        <v>46266</v>
      </c>
      <c r="B603" s="29" t="s">
        <v>8</v>
      </c>
      <c r="C603" s="29" t="s">
        <v>48</v>
      </c>
      <c r="D603" s="29" t="s">
        <v>49</v>
      </c>
      <c r="E603" s="29">
        <v>-87697</v>
      </c>
      <c r="F603" s="29" t="s">
        <v>50</v>
      </c>
    </row>
    <row r="604" spans="1:6" x14ac:dyDescent="0.35">
      <c r="A604" s="30">
        <v>46266</v>
      </c>
      <c r="B604" s="29" t="s">
        <v>8</v>
      </c>
      <c r="C604" s="29" t="s">
        <v>51</v>
      </c>
      <c r="D604" s="29" t="s">
        <v>52</v>
      </c>
      <c r="E604" s="29">
        <v>0</v>
      </c>
      <c r="F604" s="29" t="s">
        <v>53</v>
      </c>
    </row>
    <row r="605" spans="1:6" x14ac:dyDescent="0.35">
      <c r="A605" s="30">
        <v>46266</v>
      </c>
      <c r="B605" s="29" t="s">
        <v>8</v>
      </c>
      <c r="C605" s="29" t="s">
        <v>54</v>
      </c>
      <c r="D605" s="29" t="s">
        <v>55</v>
      </c>
      <c r="E605" s="29">
        <v>0</v>
      </c>
      <c r="F605" s="29" t="s">
        <v>56</v>
      </c>
    </row>
    <row r="606" spans="1:6" x14ac:dyDescent="0.35">
      <c r="A606" s="30">
        <v>46266</v>
      </c>
      <c r="B606" s="29" t="s">
        <v>8</v>
      </c>
      <c r="C606" s="29" t="s">
        <v>57</v>
      </c>
      <c r="D606" s="29" t="s">
        <v>58</v>
      </c>
      <c r="E606" s="29">
        <v>-77492</v>
      </c>
      <c r="F606" s="29" t="s">
        <v>59</v>
      </c>
    </row>
    <row r="607" spans="1:6" x14ac:dyDescent="0.35">
      <c r="A607" s="30">
        <v>46266</v>
      </c>
      <c r="B607" s="29" t="s">
        <v>8</v>
      </c>
      <c r="C607" s="29" t="s">
        <v>60</v>
      </c>
      <c r="D607" s="29" t="s">
        <v>61</v>
      </c>
      <c r="E607" s="29">
        <v>-6189</v>
      </c>
      <c r="F607" s="29" t="s">
        <v>62</v>
      </c>
    </row>
    <row r="608" spans="1:6" x14ac:dyDescent="0.35">
      <c r="A608" s="30">
        <v>46266</v>
      </c>
      <c r="B608" s="29" t="s">
        <v>13</v>
      </c>
      <c r="C608" s="29" t="s">
        <v>45</v>
      </c>
      <c r="D608" s="29" t="s">
        <v>63</v>
      </c>
      <c r="E608" s="29">
        <v>2883</v>
      </c>
      <c r="F608" s="29" t="s">
        <v>47</v>
      </c>
    </row>
    <row r="609" spans="1:6" x14ac:dyDescent="0.35">
      <c r="A609" s="30">
        <v>46266</v>
      </c>
      <c r="B609" s="29" t="s">
        <v>13</v>
      </c>
      <c r="C609" s="29" t="s">
        <v>48</v>
      </c>
      <c r="D609" s="29" t="s">
        <v>64</v>
      </c>
      <c r="E609" s="29">
        <v>25096</v>
      </c>
      <c r="F609" s="29" t="s">
        <v>50</v>
      </c>
    </row>
    <row r="610" spans="1:6" x14ac:dyDescent="0.35">
      <c r="A610" s="30">
        <v>46266</v>
      </c>
      <c r="B610" s="29" t="s">
        <v>13</v>
      </c>
      <c r="C610" s="29" t="s">
        <v>51</v>
      </c>
      <c r="D610" s="29" t="s">
        <v>65</v>
      </c>
      <c r="E610" s="29">
        <v>0</v>
      </c>
      <c r="F610" s="29" t="s">
        <v>53</v>
      </c>
    </row>
    <row r="611" spans="1:6" x14ac:dyDescent="0.35">
      <c r="A611" s="30">
        <v>46266</v>
      </c>
      <c r="B611" s="29" t="s">
        <v>13</v>
      </c>
      <c r="C611" s="29" t="s">
        <v>54</v>
      </c>
      <c r="D611" s="29" t="s">
        <v>66</v>
      </c>
      <c r="E611" s="29">
        <v>0</v>
      </c>
      <c r="F611" s="29" t="s">
        <v>56</v>
      </c>
    </row>
    <row r="612" spans="1:6" x14ac:dyDescent="0.35">
      <c r="A612" s="30">
        <v>46266</v>
      </c>
      <c r="B612" s="29" t="s">
        <v>13</v>
      </c>
      <c r="C612" s="29" t="s">
        <v>57</v>
      </c>
      <c r="D612" s="29" t="s">
        <v>67</v>
      </c>
      <c r="E612" s="29">
        <v>-4038</v>
      </c>
      <c r="F612" s="29" t="s">
        <v>59</v>
      </c>
    </row>
    <row r="613" spans="1:6" x14ac:dyDescent="0.35">
      <c r="A613" s="30">
        <v>46266</v>
      </c>
      <c r="B613" s="29" t="s">
        <v>13</v>
      </c>
      <c r="C613" s="29" t="s">
        <v>60</v>
      </c>
      <c r="D613" s="29" t="s">
        <v>68</v>
      </c>
      <c r="E613" s="29">
        <v>-1086</v>
      </c>
      <c r="F613" s="29" t="s">
        <v>62</v>
      </c>
    </row>
    <row r="614" spans="1:6" x14ac:dyDescent="0.35">
      <c r="A614" s="30">
        <v>46266</v>
      </c>
      <c r="B614" s="29" t="s">
        <v>17</v>
      </c>
      <c r="C614" s="29" t="s">
        <v>45</v>
      </c>
      <c r="D614" s="29" t="s">
        <v>69</v>
      </c>
      <c r="E614" s="29">
        <v>-10945</v>
      </c>
      <c r="F614" s="29" t="s">
        <v>47</v>
      </c>
    </row>
    <row r="615" spans="1:6" x14ac:dyDescent="0.35">
      <c r="A615" s="30">
        <v>46266</v>
      </c>
      <c r="B615" s="29" t="s">
        <v>17</v>
      </c>
      <c r="C615" s="29" t="s">
        <v>48</v>
      </c>
      <c r="D615" s="29" t="s">
        <v>70</v>
      </c>
      <c r="E615" s="29">
        <v>-6080</v>
      </c>
      <c r="F615" s="29" t="s">
        <v>50</v>
      </c>
    </row>
    <row r="616" spans="1:6" x14ac:dyDescent="0.35">
      <c r="A616" s="30">
        <v>46266</v>
      </c>
      <c r="B616" s="29" t="s">
        <v>17</v>
      </c>
      <c r="C616" s="29" t="s">
        <v>51</v>
      </c>
      <c r="D616" s="29" t="s">
        <v>71</v>
      </c>
      <c r="E616" s="29">
        <v>0</v>
      </c>
      <c r="F616" s="29" t="s">
        <v>53</v>
      </c>
    </row>
    <row r="617" spans="1:6" x14ac:dyDescent="0.35">
      <c r="A617" s="30">
        <v>46266</v>
      </c>
      <c r="B617" s="29" t="s">
        <v>17</v>
      </c>
      <c r="C617" s="29" t="s">
        <v>54</v>
      </c>
      <c r="D617" s="29" t="s">
        <v>72</v>
      </c>
      <c r="E617" s="29">
        <v>0</v>
      </c>
      <c r="F617" s="29" t="s">
        <v>56</v>
      </c>
    </row>
    <row r="618" spans="1:6" x14ac:dyDescent="0.35">
      <c r="A618" s="30">
        <v>46266</v>
      </c>
      <c r="B618" s="29" t="s">
        <v>17</v>
      </c>
      <c r="C618" s="29" t="s">
        <v>57</v>
      </c>
      <c r="D618" s="29" t="s">
        <v>73</v>
      </c>
      <c r="E618" s="29">
        <v>-3060</v>
      </c>
      <c r="F618" s="29" t="s">
        <v>59</v>
      </c>
    </row>
    <row r="619" spans="1:6" x14ac:dyDescent="0.35">
      <c r="A619" s="30">
        <v>46266</v>
      </c>
      <c r="B619" s="29" t="s">
        <v>17</v>
      </c>
      <c r="C619" s="29" t="s">
        <v>60</v>
      </c>
      <c r="D619" s="29" t="s">
        <v>74</v>
      </c>
      <c r="E619" s="29">
        <v>-750</v>
      </c>
      <c r="F619" s="29" t="s">
        <v>62</v>
      </c>
    </row>
    <row r="620" spans="1:6" x14ac:dyDescent="0.35">
      <c r="A620" s="30">
        <v>46266</v>
      </c>
      <c r="B620" s="29" t="s">
        <v>20</v>
      </c>
      <c r="C620" s="29" t="s">
        <v>45</v>
      </c>
      <c r="D620" s="29" t="s">
        <v>75</v>
      </c>
      <c r="E620" s="29">
        <v>84883</v>
      </c>
      <c r="F620" s="29" t="s">
        <v>47</v>
      </c>
    </row>
    <row r="621" spans="1:6" x14ac:dyDescent="0.35">
      <c r="A621" s="30">
        <v>46266</v>
      </c>
      <c r="B621" s="29" t="s">
        <v>20</v>
      </c>
      <c r="C621" s="29" t="s">
        <v>48</v>
      </c>
      <c r="D621" s="29" t="s">
        <v>76</v>
      </c>
      <c r="E621" s="29">
        <v>59358</v>
      </c>
      <c r="F621" s="29" t="s">
        <v>50</v>
      </c>
    </row>
    <row r="622" spans="1:6" x14ac:dyDescent="0.35">
      <c r="A622" s="30">
        <v>46266</v>
      </c>
      <c r="B622" s="29" t="s">
        <v>20</v>
      </c>
      <c r="C622" s="29" t="s">
        <v>51</v>
      </c>
      <c r="D622" s="29" t="s">
        <v>77</v>
      </c>
      <c r="E622" s="29">
        <v>0</v>
      </c>
      <c r="F622" s="29" t="s">
        <v>53</v>
      </c>
    </row>
    <row r="623" spans="1:6" x14ac:dyDescent="0.35">
      <c r="A623" s="30">
        <v>46266</v>
      </c>
      <c r="B623" s="29" t="s">
        <v>20</v>
      </c>
      <c r="C623" s="29" t="s">
        <v>54</v>
      </c>
      <c r="D623" s="29" t="s">
        <v>78</v>
      </c>
      <c r="E623" s="29">
        <v>138502</v>
      </c>
      <c r="F623" s="29" t="s">
        <v>79</v>
      </c>
    </row>
    <row r="624" spans="1:6" x14ac:dyDescent="0.35">
      <c r="A624" s="30">
        <v>46266</v>
      </c>
      <c r="B624" s="29" t="s">
        <v>20</v>
      </c>
      <c r="C624" s="29" t="s">
        <v>57</v>
      </c>
      <c r="D624" s="29" t="s">
        <v>80</v>
      </c>
      <c r="E624" s="29">
        <v>-18573</v>
      </c>
      <c r="F624" s="29" t="s">
        <v>59</v>
      </c>
    </row>
    <row r="625" spans="1:6" x14ac:dyDescent="0.35">
      <c r="A625" s="30">
        <v>46266</v>
      </c>
      <c r="B625" s="29" t="s">
        <v>20</v>
      </c>
      <c r="C625" s="29" t="s">
        <v>60</v>
      </c>
      <c r="D625" s="29" t="s">
        <v>81</v>
      </c>
      <c r="E625" s="29">
        <v>-2670</v>
      </c>
      <c r="F625" s="29" t="s">
        <v>62</v>
      </c>
    </row>
    <row r="626" spans="1:6" x14ac:dyDescent="0.35">
      <c r="A626" s="30">
        <v>46266</v>
      </c>
      <c r="B626" s="29" t="s">
        <v>25</v>
      </c>
      <c r="C626" s="29" t="s">
        <v>45</v>
      </c>
      <c r="D626" s="29" t="s">
        <v>82</v>
      </c>
      <c r="E626" s="29">
        <v>-8787</v>
      </c>
      <c r="F626" s="29" t="s">
        <v>47</v>
      </c>
    </row>
    <row r="627" spans="1:6" x14ac:dyDescent="0.35">
      <c r="A627" s="30">
        <v>46266</v>
      </c>
      <c r="B627" s="29" t="s">
        <v>25</v>
      </c>
      <c r="C627" s="29" t="s">
        <v>48</v>
      </c>
      <c r="D627" s="29" t="s">
        <v>83</v>
      </c>
      <c r="E627" s="29">
        <v>-29732</v>
      </c>
      <c r="F627" s="29" t="s">
        <v>50</v>
      </c>
    </row>
    <row r="628" spans="1:6" x14ac:dyDescent="0.35">
      <c r="A628" s="30">
        <v>46266</v>
      </c>
      <c r="B628" s="29" t="s">
        <v>25</v>
      </c>
      <c r="C628" s="29" t="s">
        <v>51</v>
      </c>
      <c r="D628" s="29" t="s">
        <v>84</v>
      </c>
      <c r="E628" s="29">
        <v>0</v>
      </c>
      <c r="F628" s="29" t="s">
        <v>53</v>
      </c>
    </row>
    <row r="629" spans="1:6" x14ac:dyDescent="0.35">
      <c r="A629" s="30">
        <v>46266</v>
      </c>
      <c r="B629" s="29" t="s">
        <v>25</v>
      </c>
      <c r="C629" s="29" t="s">
        <v>54</v>
      </c>
      <c r="D629" s="29" t="s">
        <v>85</v>
      </c>
      <c r="E629" s="29">
        <v>-69376</v>
      </c>
      <c r="F629" s="29" t="s">
        <v>86</v>
      </c>
    </row>
    <row r="630" spans="1:6" x14ac:dyDescent="0.35">
      <c r="A630" s="30">
        <v>46266</v>
      </c>
      <c r="B630" s="29" t="s">
        <v>25</v>
      </c>
      <c r="C630" s="29" t="s">
        <v>57</v>
      </c>
      <c r="D630" s="29" t="s">
        <v>87</v>
      </c>
      <c r="E630" s="29">
        <v>-164022</v>
      </c>
      <c r="F630" s="29" t="s">
        <v>59</v>
      </c>
    </row>
    <row r="631" spans="1:6" x14ac:dyDescent="0.35">
      <c r="A631" s="30">
        <v>46266</v>
      </c>
      <c r="B631" s="29" t="s">
        <v>25</v>
      </c>
      <c r="C631" s="29" t="s">
        <v>60</v>
      </c>
      <c r="D631" s="29" t="s">
        <v>88</v>
      </c>
      <c r="E631" s="29">
        <v>-5729</v>
      </c>
      <c r="F631" s="29" t="s">
        <v>62</v>
      </c>
    </row>
    <row r="632" spans="1:6" x14ac:dyDescent="0.35">
      <c r="A632" s="30">
        <v>46296</v>
      </c>
      <c r="B632" s="29" t="s">
        <v>8</v>
      </c>
      <c r="C632" s="29" t="s">
        <v>45</v>
      </c>
      <c r="D632" s="29" t="s">
        <v>46</v>
      </c>
      <c r="E632" s="29">
        <v>-150769</v>
      </c>
      <c r="F632" s="29" t="s">
        <v>47</v>
      </c>
    </row>
    <row r="633" spans="1:6" x14ac:dyDescent="0.35">
      <c r="A633" s="30">
        <v>46296</v>
      </c>
      <c r="B633" s="29" t="s">
        <v>8</v>
      </c>
      <c r="C633" s="29" t="s">
        <v>48</v>
      </c>
      <c r="D633" s="29" t="s">
        <v>49</v>
      </c>
      <c r="E633" s="29">
        <v>-171991</v>
      </c>
      <c r="F633" s="29" t="s">
        <v>50</v>
      </c>
    </row>
    <row r="634" spans="1:6" x14ac:dyDescent="0.35">
      <c r="A634" s="30">
        <v>46296</v>
      </c>
      <c r="B634" s="29" t="s">
        <v>8</v>
      </c>
      <c r="C634" s="29" t="s">
        <v>51</v>
      </c>
      <c r="D634" s="29" t="s">
        <v>52</v>
      </c>
      <c r="E634" s="29">
        <v>-127667</v>
      </c>
      <c r="F634" s="29" t="s">
        <v>89</v>
      </c>
    </row>
    <row r="635" spans="1:6" x14ac:dyDescent="0.35">
      <c r="A635" s="30">
        <v>46296</v>
      </c>
      <c r="B635" s="29" t="s">
        <v>8</v>
      </c>
      <c r="C635" s="29" t="s">
        <v>54</v>
      </c>
      <c r="D635" s="29" t="s">
        <v>55</v>
      </c>
      <c r="E635" s="29">
        <v>0</v>
      </c>
      <c r="F635" s="29" t="s">
        <v>56</v>
      </c>
    </row>
    <row r="636" spans="1:6" x14ac:dyDescent="0.35">
      <c r="A636" s="30">
        <v>46296</v>
      </c>
      <c r="B636" s="29" t="s">
        <v>8</v>
      </c>
      <c r="C636" s="29" t="s">
        <v>57</v>
      </c>
      <c r="D636" s="29" t="s">
        <v>58</v>
      </c>
      <c r="E636" s="29">
        <v>-200666</v>
      </c>
      <c r="F636" s="29" t="s">
        <v>59</v>
      </c>
    </row>
    <row r="637" spans="1:6" x14ac:dyDescent="0.35">
      <c r="A637" s="30">
        <v>46296</v>
      </c>
      <c r="B637" s="29" t="s">
        <v>8</v>
      </c>
      <c r="C637" s="29" t="s">
        <v>60</v>
      </c>
      <c r="D637" s="29" t="s">
        <v>61</v>
      </c>
      <c r="E637" s="29">
        <v>-5993</v>
      </c>
      <c r="F637" s="29" t="s">
        <v>62</v>
      </c>
    </row>
    <row r="638" spans="1:6" x14ac:dyDescent="0.35">
      <c r="A638" s="30">
        <v>46296</v>
      </c>
      <c r="B638" s="29" t="s">
        <v>13</v>
      </c>
      <c r="C638" s="29" t="s">
        <v>45</v>
      </c>
      <c r="D638" s="29" t="s">
        <v>63</v>
      </c>
      <c r="E638" s="29">
        <v>-11761</v>
      </c>
      <c r="F638" s="29" t="s">
        <v>47</v>
      </c>
    </row>
    <row r="639" spans="1:6" x14ac:dyDescent="0.35">
      <c r="A639" s="30">
        <v>46296</v>
      </c>
      <c r="B639" s="29" t="s">
        <v>13</v>
      </c>
      <c r="C639" s="29" t="s">
        <v>48</v>
      </c>
      <c r="D639" s="29" t="s">
        <v>64</v>
      </c>
      <c r="E639" s="29">
        <v>17999</v>
      </c>
      <c r="F639" s="29" t="s">
        <v>50</v>
      </c>
    </row>
    <row r="640" spans="1:6" x14ac:dyDescent="0.35">
      <c r="A640" s="30">
        <v>46296</v>
      </c>
      <c r="B640" s="29" t="s">
        <v>13</v>
      </c>
      <c r="C640" s="29" t="s">
        <v>51</v>
      </c>
      <c r="D640" s="29" t="s">
        <v>65</v>
      </c>
      <c r="E640" s="29">
        <v>0</v>
      </c>
      <c r="F640" s="29" t="s">
        <v>53</v>
      </c>
    </row>
    <row r="641" spans="1:6" x14ac:dyDescent="0.35">
      <c r="A641" s="30">
        <v>46296</v>
      </c>
      <c r="B641" s="29" t="s">
        <v>13</v>
      </c>
      <c r="C641" s="29" t="s">
        <v>54</v>
      </c>
      <c r="D641" s="29" t="s">
        <v>66</v>
      </c>
      <c r="E641" s="29">
        <v>0</v>
      </c>
      <c r="F641" s="29" t="s">
        <v>56</v>
      </c>
    </row>
    <row r="642" spans="1:6" x14ac:dyDescent="0.35">
      <c r="A642" s="30">
        <v>46296</v>
      </c>
      <c r="B642" s="29" t="s">
        <v>13</v>
      </c>
      <c r="C642" s="29" t="s">
        <v>57</v>
      </c>
      <c r="D642" s="29" t="s">
        <v>67</v>
      </c>
      <c r="E642" s="29">
        <v>-4221</v>
      </c>
      <c r="F642" s="29" t="s">
        <v>59</v>
      </c>
    </row>
    <row r="643" spans="1:6" x14ac:dyDescent="0.35">
      <c r="A643" s="30">
        <v>46296</v>
      </c>
      <c r="B643" s="29" t="s">
        <v>13</v>
      </c>
      <c r="C643" s="29" t="s">
        <v>60</v>
      </c>
      <c r="D643" s="29" t="s">
        <v>68</v>
      </c>
      <c r="E643" s="29">
        <v>-1062</v>
      </c>
      <c r="F643" s="29" t="s">
        <v>62</v>
      </c>
    </row>
    <row r="644" spans="1:6" x14ac:dyDescent="0.35">
      <c r="A644" s="30">
        <v>46296</v>
      </c>
      <c r="B644" s="29" t="s">
        <v>17</v>
      </c>
      <c r="C644" s="29" t="s">
        <v>45</v>
      </c>
      <c r="D644" s="29" t="s">
        <v>69</v>
      </c>
      <c r="E644" s="29">
        <v>-5683</v>
      </c>
      <c r="F644" s="29" t="s">
        <v>47</v>
      </c>
    </row>
    <row r="645" spans="1:6" x14ac:dyDescent="0.35">
      <c r="A645" s="30">
        <v>46296</v>
      </c>
      <c r="B645" s="29" t="s">
        <v>17</v>
      </c>
      <c r="C645" s="29" t="s">
        <v>48</v>
      </c>
      <c r="D645" s="29" t="s">
        <v>70</v>
      </c>
      <c r="E645" s="29">
        <v>-7016</v>
      </c>
      <c r="F645" s="29" t="s">
        <v>50</v>
      </c>
    </row>
    <row r="646" spans="1:6" x14ac:dyDescent="0.35">
      <c r="A646" s="30">
        <v>46296</v>
      </c>
      <c r="B646" s="29" t="s">
        <v>17</v>
      </c>
      <c r="C646" s="29" t="s">
        <v>51</v>
      </c>
      <c r="D646" s="29" t="s">
        <v>71</v>
      </c>
      <c r="E646" s="29">
        <v>-1265</v>
      </c>
      <c r="F646" s="29" t="s">
        <v>53</v>
      </c>
    </row>
    <row r="647" spans="1:6" x14ac:dyDescent="0.35">
      <c r="A647" s="30">
        <v>46296</v>
      </c>
      <c r="B647" s="29" t="s">
        <v>17</v>
      </c>
      <c r="C647" s="29" t="s">
        <v>54</v>
      </c>
      <c r="D647" s="29" t="s">
        <v>72</v>
      </c>
      <c r="E647" s="29">
        <v>0</v>
      </c>
      <c r="F647" s="29" t="s">
        <v>56</v>
      </c>
    </row>
    <row r="648" spans="1:6" x14ac:dyDescent="0.35">
      <c r="A648" s="30">
        <v>46296</v>
      </c>
      <c r="B648" s="29" t="s">
        <v>17</v>
      </c>
      <c r="C648" s="29" t="s">
        <v>57</v>
      </c>
      <c r="D648" s="29" t="s">
        <v>73</v>
      </c>
      <c r="E648" s="29">
        <v>-2594</v>
      </c>
      <c r="F648" s="29" t="s">
        <v>59</v>
      </c>
    </row>
    <row r="649" spans="1:6" x14ac:dyDescent="0.35">
      <c r="A649" s="30">
        <v>46296</v>
      </c>
      <c r="B649" s="29" t="s">
        <v>17</v>
      </c>
      <c r="C649" s="29" t="s">
        <v>60</v>
      </c>
      <c r="D649" s="29" t="s">
        <v>74</v>
      </c>
      <c r="E649" s="29">
        <v>-752</v>
      </c>
      <c r="F649" s="29" t="s">
        <v>62</v>
      </c>
    </row>
    <row r="650" spans="1:6" x14ac:dyDescent="0.35">
      <c r="A650" s="30">
        <v>46296</v>
      </c>
      <c r="B650" s="29" t="s">
        <v>20</v>
      </c>
      <c r="C650" s="29" t="s">
        <v>45</v>
      </c>
      <c r="D650" s="29" t="s">
        <v>75</v>
      </c>
      <c r="E650" s="29">
        <v>133632</v>
      </c>
      <c r="F650" s="29" t="s">
        <v>47</v>
      </c>
    </row>
    <row r="651" spans="1:6" x14ac:dyDescent="0.35">
      <c r="A651" s="30">
        <v>46296</v>
      </c>
      <c r="B651" s="29" t="s">
        <v>20</v>
      </c>
      <c r="C651" s="29" t="s">
        <v>48</v>
      </c>
      <c r="D651" s="29" t="s">
        <v>76</v>
      </c>
      <c r="E651" s="29">
        <v>66154</v>
      </c>
      <c r="F651" s="29" t="s">
        <v>50</v>
      </c>
    </row>
    <row r="652" spans="1:6" x14ac:dyDescent="0.35">
      <c r="A652" s="30">
        <v>46296</v>
      </c>
      <c r="B652" s="29" t="s">
        <v>20</v>
      </c>
      <c r="C652" s="29" t="s">
        <v>51</v>
      </c>
      <c r="D652" s="29" t="s">
        <v>77</v>
      </c>
      <c r="E652" s="29">
        <v>0</v>
      </c>
      <c r="F652" s="29" t="s">
        <v>53</v>
      </c>
    </row>
    <row r="653" spans="1:6" x14ac:dyDescent="0.35">
      <c r="A653" s="30">
        <v>46296</v>
      </c>
      <c r="B653" s="29" t="s">
        <v>20</v>
      </c>
      <c r="C653" s="29" t="s">
        <v>54</v>
      </c>
      <c r="D653" s="29" t="s">
        <v>78</v>
      </c>
      <c r="E653" s="29">
        <v>154360</v>
      </c>
      <c r="F653" s="29" t="s">
        <v>79</v>
      </c>
    </row>
    <row r="654" spans="1:6" x14ac:dyDescent="0.35">
      <c r="A654" s="30">
        <v>46296</v>
      </c>
      <c r="B654" s="29" t="s">
        <v>20</v>
      </c>
      <c r="C654" s="29" t="s">
        <v>57</v>
      </c>
      <c r="D654" s="29" t="s">
        <v>80</v>
      </c>
      <c r="E654" s="29">
        <v>-18672</v>
      </c>
      <c r="F654" s="29" t="s">
        <v>59</v>
      </c>
    </row>
    <row r="655" spans="1:6" x14ac:dyDescent="0.35">
      <c r="A655" s="30">
        <v>46296</v>
      </c>
      <c r="B655" s="29" t="s">
        <v>20</v>
      </c>
      <c r="C655" s="29" t="s">
        <v>60</v>
      </c>
      <c r="D655" s="29" t="s">
        <v>81</v>
      </c>
      <c r="E655" s="29">
        <v>-2688</v>
      </c>
      <c r="F655" s="29" t="s">
        <v>62</v>
      </c>
    </row>
    <row r="656" spans="1:6" x14ac:dyDescent="0.35">
      <c r="A656" s="30">
        <v>46296</v>
      </c>
      <c r="B656" s="29" t="s">
        <v>25</v>
      </c>
      <c r="C656" s="29" t="s">
        <v>45</v>
      </c>
      <c r="D656" s="29" t="s">
        <v>82</v>
      </c>
      <c r="E656" s="29">
        <v>5162</v>
      </c>
      <c r="F656" s="29" t="s">
        <v>47</v>
      </c>
    </row>
    <row r="657" spans="1:6" x14ac:dyDescent="0.35">
      <c r="A657" s="30">
        <v>46296</v>
      </c>
      <c r="B657" s="29" t="s">
        <v>25</v>
      </c>
      <c r="C657" s="29" t="s">
        <v>48</v>
      </c>
      <c r="D657" s="29" t="s">
        <v>83</v>
      </c>
      <c r="E657" s="29">
        <v>-25704</v>
      </c>
      <c r="F657" s="29" t="s">
        <v>50</v>
      </c>
    </row>
    <row r="658" spans="1:6" x14ac:dyDescent="0.35">
      <c r="A658" s="30">
        <v>46296</v>
      </c>
      <c r="B658" s="29" t="s">
        <v>25</v>
      </c>
      <c r="C658" s="29" t="s">
        <v>51</v>
      </c>
      <c r="D658" s="29" t="s">
        <v>84</v>
      </c>
      <c r="E658" s="29">
        <v>0</v>
      </c>
      <c r="F658" s="29" t="s">
        <v>53</v>
      </c>
    </row>
    <row r="659" spans="1:6" x14ac:dyDescent="0.35">
      <c r="A659" s="30">
        <v>46296</v>
      </c>
      <c r="B659" s="29" t="s">
        <v>25</v>
      </c>
      <c r="C659" s="29" t="s">
        <v>54</v>
      </c>
      <c r="D659" s="29" t="s">
        <v>85</v>
      </c>
      <c r="E659" s="29">
        <v>-59976</v>
      </c>
      <c r="F659" s="29" t="s">
        <v>86</v>
      </c>
    </row>
    <row r="660" spans="1:6" x14ac:dyDescent="0.35">
      <c r="A660" s="30">
        <v>46296</v>
      </c>
      <c r="B660" s="29" t="s">
        <v>25</v>
      </c>
      <c r="C660" s="29" t="s">
        <v>57</v>
      </c>
      <c r="D660" s="29" t="s">
        <v>87</v>
      </c>
      <c r="E660" s="29">
        <v>-167953</v>
      </c>
      <c r="F660" s="29" t="s">
        <v>59</v>
      </c>
    </row>
    <row r="661" spans="1:6" x14ac:dyDescent="0.35">
      <c r="A661" s="30">
        <v>46296</v>
      </c>
      <c r="B661" s="29" t="s">
        <v>25</v>
      </c>
      <c r="C661" s="29" t="s">
        <v>60</v>
      </c>
      <c r="D661" s="29" t="s">
        <v>88</v>
      </c>
      <c r="E661" s="29">
        <v>-5691</v>
      </c>
      <c r="F661" s="29" t="s">
        <v>62</v>
      </c>
    </row>
    <row r="662" spans="1:6" x14ac:dyDescent="0.35">
      <c r="A662" s="30">
        <v>46327</v>
      </c>
      <c r="B662" s="29" t="s">
        <v>8</v>
      </c>
      <c r="C662" s="29" t="s">
        <v>45</v>
      </c>
      <c r="D662" s="29" t="s">
        <v>46</v>
      </c>
      <c r="E662" s="29">
        <v>-176752</v>
      </c>
      <c r="F662" s="29" t="s">
        <v>47</v>
      </c>
    </row>
    <row r="663" spans="1:6" x14ac:dyDescent="0.35">
      <c r="A663" s="30">
        <v>46327</v>
      </c>
      <c r="B663" s="29" t="s">
        <v>8</v>
      </c>
      <c r="C663" s="29" t="s">
        <v>48</v>
      </c>
      <c r="D663" s="29" t="s">
        <v>49</v>
      </c>
      <c r="E663" s="29">
        <v>175049</v>
      </c>
      <c r="F663" s="29" t="s">
        <v>50</v>
      </c>
    </row>
    <row r="664" spans="1:6" x14ac:dyDescent="0.35">
      <c r="A664" s="30">
        <v>46327</v>
      </c>
      <c r="B664" s="29" t="s">
        <v>8</v>
      </c>
      <c r="C664" s="29" t="s">
        <v>51</v>
      </c>
      <c r="D664" s="29" t="s">
        <v>52</v>
      </c>
      <c r="E664" s="29">
        <v>-56807</v>
      </c>
      <c r="F664" s="29" t="s">
        <v>89</v>
      </c>
    </row>
    <row r="665" spans="1:6" x14ac:dyDescent="0.35">
      <c r="A665" s="30">
        <v>46327</v>
      </c>
      <c r="B665" s="29" t="s">
        <v>8</v>
      </c>
      <c r="C665" s="29" t="s">
        <v>54</v>
      </c>
      <c r="D665" s="29" t="s">
        <v>55</v>
      </c>
      <c r="E665" s="29">
        <v>0</v>
      </c>
      <c r="F665" s="29" t="s">
        <v>56</v>
      </c>
    </row>
    <row r="666" spans="1:6" x14ac:dyDescent="0.35">
      <c r="A666" s="30">
        <v>46327</v>
      </c>
      <c r="B666" s="29" t="s">
        <v>8</v>
      </c>
      <c r="C666" s="29" t="s">
        <v>57</v>
      </c>
      <c r="D666" s="29" t="s">
        <v>58</v>
      </c>
      <c r="E666" s="29">
        <v>-77892</v>
      </c>
      <c r="F666" s="29" t="s">
        <v>59</v>
      </c>
    </row>
    <row r="667" spans="1:6" x14ac:dyDescent="0.35">
      <c r="A667" s="30">
        <v>46327</v>
      </c>
      <c r="B667" s="29" t="s">
        <v>8</v>
      </c>
      <c r="C667" s="29" t="s">
        <v>60</v>
      </c>
      <c r="D667" s="29" t="s">
        <v>61</v>
      </c>
      <c r="E667" s="29">
        <v>-6035</v>
      </c>
      <c r="F667" s="29" t="s">
        <v>62</v>
      </c>
    </row>
    <row r="668" spans="1:6" x14ac:dyDescent="0.35">
      <c r="A668" s="30">
        <v>46327</v>
      </c>
      <c r="B668" s="29" t="s">
        <v>13</v>
      </c>
      <c r="C668" s="29" t="s">
        <v>45</v>
      </c>
      <c r="D668" s="29" t="s">
        <v>63</v>
      </c>
      <c r="E668" s="29">
        <v>2925</v>
      </c>
      <c r="F668" s="29" t="s">
        <v>47</v>
      </c>
    </row>
    <row r="669" spans="1:6" x14ac:dyDescent="0.35">
      <c r="A669" s="30">
        <v>46327</v>
      </c>
      <c r="B669" s="29" t="s">
        <v>13</v>
      </c>
      <c r="C669" s="29" t="s">
        <v>48</v>
      </c>
      <c r="D669" s="29" t="s">
        <v>64</v>
      </c>
      <c r="E669" s="29">
        <v>10821</v>
      </c>
      <c r="F669" s="29" t="s">
        <v>50</v>
      </c>
    </row>
    <row r="670" spans="1:6" x14ac:dyDescent="0.35">
      <c r="A670" s="30">
        <v>46327</v>
      </c>
      <c r="B670" s="29" t="s">
        <v>13</v>
      </c>
      <c r="C670" s="29" t="s">
        <v>51</v>
      </c>
      <c r="D670" s="29" t="s">
        <v>65</v>
      </c>
      <c r="E670" s="29">
        <v>-751</v>
      </c>
      <c r="F670" s="29" t="s">
        <v>53</v>
      </c>
    </row>
    <row r="671" spans="1:6" x14ac:dyDescent="0.35">
      <c r="A671" s="30">
        <v>46327</v>
      </c>
      <c r="B671" s="29" t="s">
        <v>13</v>
      </c>
      <c r="C671" s="29" t="s">
        <v>54</v>
      </c>
      <c r="D671" s="29" t="s">
        <v>66</v>
      </c>
      <c r="E671" s="29">
        <v>0</v>
      </c>
      <c r="F671" s="29" t="s">
        <v>56</v>
      </c>
    </row>
    <row r="672" spans="1:6" x14ac:dyDescent="0.35">
      <c r="A672" s="30">
        <v>46327</v>
      </c>
      <c r="B672" s="29" t="s">
        <v>13</v>
      </c>
      <c r="C672" s="29" t="s">
        <v>57</v>
      </c>
      <c r="D672" s="29" t="s">
        <v>67</v>
      </c>
      <c r="E672" s="29">
        <v>-2263</v>
      </c>
      <c r="F672" s="29" t="s">
        <v>59</v>
      </c>
    </row>
    <row r="673" spans="1:6" x14ac:dyDescent="0.35">
      <c r="A673" s="30">
        <v>46327</v>
      </c>
      <c r="B673" s="29" t="s">
        <v>13</v>
      </c>
      <c r="C673" s="29" t="s">
        <v>60</v>
      </c>
      <c r="D673" s="29" t="s">
        <v>68</v>
      </c>
      <c r="E673" s="29">
        <v>-1060</v>
      </c>
      <c r="F673" s="29" t="s">
        <v>62</v>
      </c>
    </row>
    <row r="674" spans="1:6" x14ac:dyDescent="0.35">
      <c r="A674" s="30">
        <v>46327</v>
      </c>
      <c r="B674" s="29" t="s">
        <v>17</v>
      </c>
      <c r="C674" s="29" t="s">
        <v>45</v>
      </c>
      <c r="D674" s="29" t="s">
        <v>69</v>
      </c>
      <c r="E674" s="29">
        <v>-3645</v>
      </c>
      <c r="F674" s="29" t="s">
        <v>47</v>
      </c>
    </row>
    <row r="675" spans="1:6" x14ac:dyDescent="0.35">
      <c r="A675" s="30">
        <v>46327</v>
      </c>
      <c r="B675" s="29" t="s">
        <v>17</v>
      </c>
      <c r="C675" s="29" t="s">
        <v>48</v>
      </c>
      <c r="D675" s="29" t="s">
        <v>70</v>
      </c>
      <c r="E675" s="29">
        <v>4156</v>
      </c>
      <c r="F675" s="29" t="s">
        <v>50</v>
      </c>
    </row>
    <row r="676" spans="1:6" x14ac:dyDescent="0.35">
      <c r="A676" s="30">
        <v>46327</v>
      </c>
      <c r="B676" s="29" t="s">
        <v>17</v>
      </c>
      <c r="C676" s="29" t="s">
        <v>51</v>
      </c>
      <c r="D676" s="29" t="s">
        <v>71</v>
      </c>
      <c r="E676" s="29">
        <v>-841</v>
      </c>
      <c r="F676" s="29" t="s">
        <v>53</v>
      </c>
    </row>
    <row r="677" spans="1:6" x14ac:dyDescent="0.35">
      <c r="A677" s="30">
        <v>46327</v>
      </c>
      <c r="B677" s="29" t="s">
        <v>17</v>
      </c>
      <c r="C677" s="29" t="s">
        <v>54</v>
      </c>
      <c r="D677" s="29" t="s">
        <v>72</v>
      </c>
      <c r="E677" s="29">
        <v>0</v>
      </c>
      <c r="F677" s="29" t="s">
        <v>56</v>
      </c>
    </row>
    <row r="678" spans="1:6" x14ac:dyDescent="0.35">
      <c r="A678" s="30">
        <v>46327</v>
      </c>
      <c r="B678" s="29" t="s">
        <v>17</v>
      </c>
      <c r="C678" s="29" t="s">
        <v>57</v>
      </c>
      <c r="D678" s="29" t="s">
        <v>73</v>
      </c>
      <c r="E678" s="29">
        <v>-969</v>
      </c>
      <c r="F678" s="29" t="s">
        <v>59</v>
      </c>
    </row>
    <row r="679" spans="1:6" x14ac:dyDescent="0.35">
      <c r="A679" s="30">
        <v>46327</v>
      </c>
      <c r="B679" s="29" t="s">
        <v>17</v>
      </c>
      <c r="C679" s="29" t="s">
        <v>60</v>
      </c>
      <c r="D679" s="29" t="s">
        <v>74</v>
      </c>
      <c r="E679" s="29">
        <v>-741</v>
      </c>
      <c r="F679" s="29" t="s">
        <v>62</v>
      </c>
    </row>
    <row r="680" spans="1:6" x14ac:dyDescent="0.35">
      <c r="A680" s="30">
        <v>46327</v>
      </c>
      <c r="B680" s="29" t="s">
        <v>20</v>
      </c>
      <c r="C680" s="29" t="s">
        <v>45</v>
      </c>
      <c r="D680" s="29" t="s">
        <v>75</v>
      </c>
      <c r="E680" s="29">
        <v>89065</v>
      </c>
      <c r="F680" s="29" t="s">
        <v>47</v>
      </c>
    </row>
    <row r="681" spans="1:6" x14ac:dyDescent="0.35">
      <c r="A681" s="30">
        <v>46327</v>
      </c>
      <c r="B681" s="29" t="s">
        <v>20</v>
      </c>
      <c r="C681" s="29" t="s">
        <v>48</v>
      </c>
      <c r="D681" s="29" t="s">
        <v>76</v>
      </c>
      <c r="E681" s="29">
        <v>59469</v>
      </c>
      <c r="F681" s="29" t="s">
        <v>50</v>
      </c>
    </row>
    <row r="682" spans="1:6" x14ac:dyDescent="0.35">
      <c r="A682" s="30">
        <v>46327</v>
      </c>
      <c r="B682" s="29" t="s">
        <v>20</v>
      </c>
      <c r="C682" s="29" t="s">
        <v>51</v>
      </c>
      <c r="D682" s="29" t="s">
        <v>77</v>
      </c>
      <c r="E682" s="29">
        <v>0</v>
      </c>
      <c r="F682" s="29" t="s">
        <v>53</v>
      </c>
    </row>
    <row r="683" spans="1:6" x14ac:dyDescent="0.35">
      <c r="A683" s="30">
        <v>46327</v>
      </c>
      <c r="B683" s="29" t="s">
        <v>20</v>
      </c>
      <c r="C683" s="29" t="s">
        <v>54</v>
      </c>
      <c r="D683" s="29" t="s">
        <v>78</v>
      </c>
      <c r="E683" s="29">
        <v>138762</v>
      </c>
      <c r="F683" s="29" t="s">
        <v>79</v>
      </c>
    </row>
    <row r="684" spans="1:6" x14ac:dyDescent="0.35">
      <c r="A684" s="30">
        <v>46327</v>
      </c>
      <c r="B684" s="29" t="s">
        <v>20</v>
      </c>
      <c r="C684" s="29" t="s">
        <v>57</v>
      </c>
      <c r="D684" s="29" t="s">
        <v>80</v>
      </c>
      <c r="E684" s="29">
        <v>-19209</v>
      </c>
      <c r="F684" s="29" t="s">
        <v>59</v>
      </c>
    </row>
    <row r="685" spans="1:6" x14ac:dyDescent="0.35">
      <c r="A685" s="30">
        <v>46327</v>
      </c>
      <c r="B685" s="29" t="s">
        <v>20</v>
      </c>
      <c r="C685" s="29" t="s">
        <v>60</v>
      </c>
      <c r="D685" s="29" t="s">
        <v>81</v>
      </c>
      <c r="E685" s="29">
        <v>-2561</v>
      </c>
      <c r="F685" s="29" t="s">
        <v>62</v>
      </c>
    </row>
    <row r="686" spans="1:6" x14ac:dyDescent="0.35">
      <c r="A686" s="30">
        <v>46327</v>
      </c>
      <c r="B686" s="29" t="s">
        <v>25</v>
      </c>
      <c r="C686" s="29" t="s">
        <v>45</v>
      </c>
      <c r="D686" s="29" t="s">
        <v>82</v>
      </c>
      <c r="E686" s="29">
        <v>-12845</v>
      </c>
      <c r="F686" s="29" t="s">
        <v>47</v>
      </c>
    </row>
    <row r="687" spans="1:6" x14ac:dyDescent="0.35">
      <c r="A687" s="30">
        <v>46327</v>
      </c>
      <c r="B687" s="29" t="s">
        <v>25</v>
      </c>
      <c r="C687" s="29" t="s">
        <v>48</v>
      </c>
      <c r="D687" s="29" t="s">
        <v>83</v>
      </c>
      <c r="E687" s="29">
        <v>-46770</v>
      </c>
      <c r="F687" s="29" t="s">
        <v>50</v>
      </c>
    </row>
    <row r="688" spans="1:6" x14ac:dyDescent="0.35">
      <c r="A688" s="30">
        <v>46327</v>
      </c>
      <c r="B688" s="29" t="s">
        <v>25</v>
      </c>
      <c r="C688" s="29" t="s">
        <v>51</v>
      </c>
      <c r="D688" s="29" t="s">
        <v>84</v>
      </c>
      <c r="E688" s="29">
        <v>0</v>
      </c>
      <c r="F688" s="29" t="s">
        <v>53</v>
      </c>
    </row>
    <row r="689" spans="1:6" x14ac:dyDescent="0.35">
      <c r="A689" s="30">
        <v>46327</v>
      </c>
      <c r="B689" s="29" t="s">
        <v>25</v>
      </c>
      <c r="C689" s="29" t="s">
        <v>54</v>
      </c>
      <c r="D689" s="29" t="s">
        <v>85</v>
      </c>
      <c r="E689" s="29">
        <v>-109131</v>
      </c>
      <c r="F689" s="29" t="s">
        <v>86</v>
      </c>
    </row>
    <row r="690" spans="1:6" x14ac:dyDescent="0.35">
      <c r="A690" s="30">
        <v>46327</v>
      </c>
      <c r="B690" s="29" t="s">
        <v>25</v>
      </c>
      <c r="C690" s="29" t="s">
        <v>57</v>
      </c>
      <c r="D690" s="29" t="s">
        <v>87</v>
      </c>
      <c r="E690" s="29">
        <v>-167786</v>
      </c>
      <c r="F690" s="29" t="s">
        <v>59</v>
      </c>
    </row>
    <row r="691" spans="1:6" x14ac:dyDescent="0.35">
      <c r="A691" s="30">
        <v>46327</v>
      </c>
      <c r="B691" s="29" t="s">
        <v>25</v>
      </c>
      <c r="C691" s="29" t="s">
        <v>60</v>
      </c>
      <c r="D691" s="29" t="s">
        <v>88</v>
      </c>
      <c r="E691" s="29">
        <v>-5733</v>
      </c>
      <c r="F691" s="29" t="s">
        <v>62</v>
      </c>
    </row>
    <row r="692" spans="1:6" x14ac:dyDescent="0.35">
      <c r="A692" s="30">
        <v>46357</v>
      </c>
      <c r="B692" s="29" t="s">
        <v>8</v>
      </c>
      <c r="C692" s="29" t="s">
        <v>45</v>
      </c>
      <c r="D692" s="29" t="s">
        <v>46</v>
      </c>
      <c r="E692" s="29">
        <v>-327444</v>
      </c>
      <c r="F692" s="29" t="s">
        <v>47</v>
      </c>
    </row>
    <row r="693" spans="1:6" x14ac:dyDescent="0.35">
      <c r="A693" s="30">
        <v>46357</v>
      </c>
      <c r="B693" s="29" t="s">
        <v>8</v>
      </c>
      <c r="C693" s="29" t="s">
        <v>48</v>
      </c>
      <c r="D693" s="29" t="s">
        <v>49</v>
      </c>
      <c r="E693" s="29">
        <v>-297506</v>
      </c>
      <c r="F693" s="29" t="s">
        <v>50</v>
      </c>
    </row>
    <row r="694" spans="1:6" x14ac:dyDescent="0.35">
      <c r="A694" s="30">
        <v>46357</v>
      </c>
      <c r="B694" s="29" t="s">
        <v>8</v>
      </c>
      <c r="C694" s="29" t="s">
        <v>51</v>
      </c>
      <c r="D694" s="29" t="s">
        <v>52</v>
      </c>
      <c r="E694" s="29">
        <v>0</v>
      </c>
      <c r="F694" s="29" t="s">
        <v>53</v>
      </c>
    </row>
    <row r="695" spans="1:6" x14ac:dyDescent="0.35">
      <c r="A695" s="30">
        <v>46357</v>
      </c>
      <c r="B695" s="29" t="s">
        <v>8</v>
      </c>
      <c r="C695" s="29" t="s">
        <v>54</v>
      </c>
      <c r="D695" s="29" t="s">
        <v>55</v>
      </c>
      <c r="E695" s="29">
        <v>0</v>
      </c>
      <c r="F695" s="29" t="s">
        <v>56</v>
      </c>
    </row>
    <row r="696" spans="1:6" x14ac:dyDescent="0.35">
      <c r="A696" s="30">
        <v>46357</v>
      </c>
      <c r="B696" s="29" t="s">
        <v>8</v>
      </c>
      <c r="C696" s="29" t="s">
        <v>57</v>
      </c>
      <c r="D696" s="29" t="s">
        <v>58</v>
      </c>
      <c r="E696" s="29">
        <v>-85979</v>
      </c>
      <c r="F696" s="29" t="s">
        <v>59</v>
      </c>
    </row>
    <row r="697" spans="1:6" x14ac:dyDescent="0.35">
      <c r="A697" s="30">
        <v>46357</v>
      </c>
      <c r="B697" s="29" t="s">
        <v>8</v>
      </c>
      <c r="C697" s="29" t="s">
        <v>60</v>
      </c>
      <c r="D697" s="29" t="s">
        <v>61</v>
      </c>
      <c r="E697" s="29">
        <v>-5710</v>
      </c>
      <c r="F697" s="29" t="s">
        <v>62</v>
      </c>
    </row>
    <row r="698" spans="1:6" x14ac:dyDescent="0.35">
      <c r="A698" s="30">
        <v>46357</v>
      </c>
      <c r="B698" s="29" t="s">
        <v>13</v>
      </c>
      <c r="C698" s="29" t="s">
        <v>45</v>
      </c>
      <c r="D698" s="29" t="s">
        <v>63</v>
      </c>
      <c r="E698" s="29">
        <v>2231</v>
      </c>
      <c r="F698" s="29" t="s">
        <v>47</v>
      </c>
    </row>
    <row r="699" spans="1:6" x14ac:dyDescent="0.35">
      <c r="A699" s="30">
        <v>46357</v>
      </c>
      <c r="B699" s="29" t="s">
        <v>13</v>
      </c>
      <c r="C699" s="29" t="s">
        <v>48</v>
      </c>
      <c r="D699" s="29" t="s">
        <v>64</v>
      </c>
      <c r="E699" s="29">
        <v>-6639</v>
      </c>
      <c r="F699" s="29" t="s">
        <v>50</v>
      </c>
    </row>
    <row r="700" spans="1:6" x14ac:dyDescent="0.35">
      <c r="A700" s="30">
        <v>46357</v>
      </c>
      <c r="B700" s="29" t="s">
        <v>13</v>
      </c>
      <c r="C700" s="29" t="s">
        <v>51</v>
      </c>
      <c r="D700" s="29" t="s">
        <v>65</v>
      </c>
      <c r="E700" s="29">
        <v>-1251</v>
      </c>
      <c r="F700" s="29" t="s">
        <v>53</v>
      </c>
    </row>
    <row r="701" spans="1:6" x14ac:dyDescent="0.35">
      <c r="A701" s="30">
        <v>46357</v>
      </c>
      <c r="B701" s="29" t="s">
        <v>13</v>
      </c>
      <c r="C701" s="29" t="s">
        <v>54</v>
      </c>
      <c r="D701" s="29" t="s">
        <v>66</v>
      </c>
      <c r="E701" s="29">
        <v>0</v>
      </c>
      <c r="F701" s="29" t="s">
        <v>56</v>
      </c>
    </row>
    <row r="702" spans="1:6" x14ac:dyDescent="0.35">
      <c r="A702" s="30">
        <v>46357</v>
      </c>
      <c r="B702" s="29" t="s">
        <v>13</v>
      </c>
      <c r="C702" s="29" t="s">
        <v>57</v>
      </c>
      <c r="D702" s="29" t="s">
        <v>67</v>
      </c>
      <c r="E702" s="29">
        <v>-2565</v>
      </c>
      <c r="F702" s="29" t="s">
        <v>59</v>
      </c>
    </row>
    <row r="703" spans="1:6" x14ac:dyDescent="0.35">
      <c r="A703" s="30">
        <v>46357</v>
      </c>
      <c r="B703" s="29" t="s">
        <v>13</v>
      </c>
      <c r="C703" s="29" t="s">
        <v>60</v>
      </c>
      <c r="D703" s="29" t="s">
        <v>68</v>
      </c>
      <c r="E703" s="29">
        <v>-1047</v>
      </c>
      <c r="F703" s="29" t="s">
        <v>62</v>
      </c>
    </row>
    <row r="704" spans="1:6" x14ac:dyDescent="0.35">
      <c r="A704" s="30">
        <v>46357</v>
      </c>
      <c r="B704" s="29" t="s">
        <v>17</v>
      </c>
      <c r="C704" s="29" t="s">
        <v>45</v>
      </c>
      <c r="D704" s="29" t="s">
        <v>69</v>
      </c>
      <c r="E704" s="29">
        <v>819</v>
      </c>
      <c r="F704" s="29" t="s">
        <v>47</v>
      </c>
    </row>
    <row r="705" spans="1:6" x14ac:dyDescent="0.35">
      <c r="A705" s="30">
        <v>46357</v>
      </c>
      <c r="B705" s="29" t="s">
        <v>17</v>
      </c>
      <c r="C705" s="29" t="s">
        <v>48</v>
      </c>
      <c r="D705" s="29" t="s">
        <v>70</v>
      </c>
      <c r="E705" s="29">
        <v>6589</v>
      </c>
      <c r="F705" s="29" t="s">
        <v>50</v>
      </c>
    </row>
    <row r="706" spans="1:6" x14ac:dyDescent="0.35">
      <c r="A706" s="30">
        <v>46357</v>
      </c>
      <c r="B706" s="29" t="s">
        <v>17</v>
      </c>
      <c r="C706" s="29" t="s">
        <v>51</v>
      </c>
      <c r="D706" s="29" t="s">
        <v>71</v>
      </c>
      <c r="E706" s="29">
        <v>0</v>
      </c>
      <c r="F706" s="29" t="s">
        <v>53</v>
      </c>
    </row>
    <row r="707" spans="1:6" x14ac:dyDescent="0.35">
      <c r="A707" s="30">
        <v>46357</v>
      </c>
      <c r="B707" s="29" t="s">
        <v>17</v>
      </c>
      <c r="C707" s="29" t="s">
        <v>54</v>
      </c>
      <c r="D707" s="29" t="s">
        <v>72</v>
      </c>
      <c r="E707" s="29">
        <v>0</v>
      </c>
      <c r="F707" s="29" t="s">
        <v>56</v>
      </c>
    </row>
    <row r="708" spans="1:6" x14ac:dyDescent="0.35">
      <c r="A708" s="30">
        <v>46357</v>
      </c>
      <c r="B708" s="29" t="s">
        <v>17</v>
      </c>
      <c r="C708" s="29" t="s">
        <v>57</v>
      </c>
      <c r="D708" s="29" t="s">
        <v>73</v>
      </c>
      <c r="E708" s="29">
        <v>-1513</v>
      </c>
      <c r="F708" s="29" t="s">
        <v>59</v>
      </c>
    </row>
    <row r="709" spans="1:6" x14ac:dyDescent="0.35">
      <c r="A709" s="30">
        <v>46357</v>
      </c>
      <c r="B709" s="29" t="s">
        <v>17</v>
      </c>
      <c r="C709" s="29" t="s">
        <v>60</v>
      </c>
      <c r="D709" s="29" t="s">
        <v>74</v>
      </c>
      <c r="E709" s="29">
        <v>-762</v>
      </c>
      <c r="F709" s="29" t="s">
        <v>62</v>
      </c>
    </row>
    <row r="710" spans="1:6" x14ac:dyDescent="0.35">
      <c r="A710" s="30">
        <v>46357</v>
      </c>
      <c r="B710" s="29" t="s">
        <v>20</v>
      </c>
      <c r="C710" s="29" t="s">
        <v>45</v>
      </c>
      <c r="D710" s="29" t="s">
        <v>75</v>
      </c>
      <c r="E710" s="29">
        <v>196569</v>
      </c>
      <c r="F710" s="29" t="s">
        <v>47</v>
      </c>
    </row>
    <row r="711" spans="1:6" x14ac:dyDescent="0.35">
      <c r="A711" s="30">
        <v>46357</v>
      </c>
      <c r="B711" s="29" t="s">
        <v>20</v>
      </c>
      <c r="C711" s="29" t="s">
        <v>48</v>
      </c>
      <c r="D711" s="29" t="s">
        <v>76</v>
      </c>
      <c r="E711" s="29">
        <v>69520</v>
      </c>
      <c r="F711" s="29" t="s">
        <v>50</v>
      </c>
    </row>
    <row r="712" spans="1:6" x14ac:dyDescent="0.35">
      <c r="A712" s="30">
        <v>46357</v>
      </c>
      <c r="B712" s="29" t="s">
        <v>20</v>
      </c>
      <c r="C712" s="29" t="s">
        <v>51</v>
      </c>
      <c r="D712" s="29" t="s">
        <v>77</v>
      </c>
      <c r="E712" s="29">
        <v>0</v>
      </c>
      <c r="F712" s="29" t="s">
        <v>53</v>
      </c>
    </row>
    <row r="713" spans="1:6" x14ac:dyDescent="0.35">
      <c r="A713" s="30">
        <v>46357</v>
      </c>
      <c r="B713" s="29" t="s">
        <v>20</v>
      </c>
      <c r="C713" s="29" t="s">
        <v>54</v>
      </c>
      <c r="D713" s="29" t="s">
        <v>78</v>
      </c>
      <c r="E713" s="29">
        <v>162212</v>
      </c>
      <c r="F713" s="29" t="s">
        <v>79</v>
      </c>
    </row>
    <row r="714" spans="1:6" x14ac:dyDescent="0.35">
      <c r="A714" s="30">
        <v>46357</v>
      </c>
      <c r="B714" s="29" t="s">
        <v>20</v>
      </c>
      <c r="C714" s="29" t="s">
        <v>57</v>
      </c>
      <c r="D714" s="29" t="s">
        <v>80</v>
      </c>
      <c r="E714" s="29">
        <v>-19309</v>
      </c>
      <c r="F714" s="29" t="s">
        <v>59</v>
      </c>
    </row>
    <row r="715" spans="1:6" x14ac:dyDescent="0.35">
      <c r="A715" s="30">
        <v>46357</v>
      </c>
      <c r="B715" s="29" t="s">
        <v>20</v>
      </c>
      <c r="C715" s="29" t="s">
        <v>60</v>
      </c>
      <c r="D715" s="29" t="s">
        <v>81</v>
      </c>
      <c r="E715" s="29">
        <v>-2520</v>
      </c>
      <c r="F715" s="29" t="s">
        <v>62</v>
      </c>
    </row>
    <row r="716" spans="1:6" x14ac:dyDescent="0.35">
      <c r="A716" s="30">
        <v>46357</v>
      </c>
      <c r="B716" s="29" t="s">
        <v>25</v>
      </c>
      <c r="C716" s="29" t="s">
        <v>45</v>
      </c>
      <c r="D716" s="29" t="s">
        <v>82</v>
      </c>
      <c r="E716" s="29">
        <v>558</v>
      </c>
      <c r="F716" s="29" t="s">
        <v>47</v>
      </c>
    </row>
    <row r="717" spans="1:6" x14ac:dyDescent="0.35">
      <c r="A717" s="30">
        <v>46357</v>
      </c>
      <c r="B717" s="29" t="s">
        <v>25</v>
      </c>
      <c r="C717" s="29" t="s">
        <v>48</v>
      </c>
      <c r="D717" s="29" t="s">
        <v>83</v>
      </c>
      <c r="E717" s="29">
        <v>-37570</v>
      </c>
      <c r="F717" s="29" t="s">
        <v>50</v>
      </c>
    </row>
    <row r="718" spans="1:6" x14ac:dyDescent="0.35">
      <c r="A718" s="30">
        <v>46357</v>
      </c>
      <c r="B718" s="29" t="s">
        <v>25</v>
      </c>
      <c r="C718" s="29" t="s">
        <v>51</v>
      </c>
      <c r="D718" s="29" t="s">
        <v>84</v>
      </c>
      <c r="E718" s="29">
        <v>0</v>
      </c>
      <c r="F718" s="29" t="s">
        <v>53</v>
      </c>
    </row>
    <row r="719" spans="1:6" x14ac:dyDescent="0.35">
      <c r="A719" s="30">
        <v>46357</v>
      </c>
      <c r="B719" s="29" t="s">
        <v>25</v>
      </c>
      <c r="C719" s="29" t="s">
        <v>54</v>
      </c>
      <c r="D719" s="29" t="s">
        <v>85</v>
      </c>
      <c r="E719" s="29">
        <v>-87663</v>
      </c>
      <c r="F719" s="29" t="s">
        <v>86</v>
      </c>
    </row>
    <row r="720" spans="1:6" x14ac:dyDescent="0.35">
      <c r="A720" s="30">
        <v>46357</v>
      </c>
      <c r="B720" s="29" t="s">
        <v>25</v>
      </c>
      <c r="C720" s="29" t="s">
        <v>57</v>
      </c>
      <c r="D720" s="29" t="s">
        <v>87</v>
      </c>
      <c r="E720" s="29">
        <v>-169839</v>
      </c>
      <c r="F720" s="29" t="s">
        <v>59</v>
      </c>
    </row>
    <row r="721" spans="1:6" x14ac:dyDescent="0.35">
      <c r="A721" s="30">
        <v>46357</v>
      </c>
      <c r="B721" s="29" t="s">
        <v>25</v>
      </c>
      <c r="C721" s="29" t="s">
        <v>60</v>
      </c>
      <c r="D721" s="29" t="s">
        <v>88</v>
      </c>
      <c r="E721" s="29">
        <v>-5675</v>
      </c>
      <c r="F721" s="29" t="s">
        <v>62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423088-84FA-440F-B8CA-BABF5B17C4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00_ReadMe</vt:lpstr>
      <vt:lpstr>01_Assumptions</vt:lpstr>
      <vt:lpstr>02_Raw_Data_Checks</vt:lpstr>
      <vt:lpstr>03_PQ_Actuals</vt:lpstr>
      <vt:lpstr>04_PQ_Budget</vt:lpstr>
      <vt:lpstr>05_PQ_Forecast</vt:lpstr>
      <vt:lpstr>06_Calculations</vt:lpstr>
      <vt:lpstr>07_Variance_Analysis</vt:lpstr>
      <vt:lpstr>08_Scenario_Model</vt:lpstr>
      <vt:lpstr>09_Management_Dashboard</vt:lpstr>
      <vt:lpstr>10_Commentary_Pack</vt:lpstr>
      <vt:lpstr>11_PQ_Combined</vt:lpstr>
      <vt:lpstr>12_Input_Assets</vt:lpstr>
      <vt:lpstr>13_Input_Assumptions</vt:lpstr>
      <vt:lpstr>14_Input_VarianceDrivers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</dc:creator>
  <cp:lastModifiedBy>ale kato</cp:lastModifiedBy>
  <dcterms:created xsi:type="dcterms:W3CDTF">2015-06-05T18:19:34Z</dcterms:created>
  <dcterms:modified xsi:type="dcterms:W3CDTF">2026-05-23T19:31:34Z</dcterms:modified>
</cp:coreProperties>
</file>